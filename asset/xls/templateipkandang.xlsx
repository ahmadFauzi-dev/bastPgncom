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FA\"/>
    </mc:Choice>
  </mc:AlternateContent>
  <xr:revisionPtr revIDLastSave="0" documentId="13_ncr:1_{317D717D-EC90-409F-8DBD-BB96E284A4B7}" xr6:coauthVersionLast="32" xr6:coauthVersionMax="32" xr10:uidLastSave="{00000000-0000-0000-0000-000000000000}"/>
  <bookViews>
    <workbookView xWindow="0" yWindow="0" windowWidth="20490" windowHeight="7245" xr2:uid="{94FFFF5F-8907-435C-8462-1BEDD765A34A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8" i="1" l="1"/>
  <c r="D13" i="1" l="1"/>
  <c r="M26" i="1"/>
  <c r="M27" i="1"/>
  <c r="M28" i="1"/>
  <c r="M29" i="1"/>
  <c r="M30" i="1"/>
  <c r="M31" i="1"/>
  <c r="M32" i="1"/>
  <c r="M33" i="1"/>
  <c r="M34" i="1"/>
  <c r="M35" i="1"/>
  <c r="M36" i="1"/>
  <c r="M37" i="1"/>
  <c r="M25" i="1"/>
  <c r="G47" i="1"/>
  <c r="D23" i="1"/>
  <c r="F38" i="1" l="1"/>
  <c r="M22" i="1"/>
  <c r="M21" i="1"/>
  <c r="M20" i="1"/>
  <c r="M19" i="1"/>
  <c r="F23" i="1"/>
  <c r="M23" i="1" s="1"/>
  <c r="O62" i="1"/>
  <c r="O61" i="1"/>
  <c r="F56" i="1"/>
  <c r="M56" i="1" s="1"/>
  <c r="F55" i="1"/>
  <c r="M55" i="1" s="1"/>
  <c r="F54" i="1"/>
  <c r="M54" i="1" s="1"/>
  <c r="F53" i="1"/>
  <c r="M53" i="1" s="1"/>
  <c r="M52" i="1"/>
  <c r="F52" i="1"/>
  <c r="D38" i="1"/>
  <c r="M18" i="1"/>
  <c r="F57" i="1" l="1"/>
  <c r="M15" i="1"/>
  <c r="M16" i="1"/>
  <c r="M17" i="1"/>
  <c r="J65" i="1"/>
  <c r="D49" i="1"/>
  <c r="F66" i="1" s="1"/>
  <c r="H65" i="1"/>
  <c r="D39" i="1"/>
  <c r="M57" i="1"/>
  <c r="C58" i="1" s="1"/>
  <c r="C64" i="1" s="1"/>
  <c r="J66" i="1" s="1"/>
  <c r="O65" i="1" l="1"/>
  <c r="O66" i="1"/>
  <c r="Q65" i="1" l="1"/>
  <c r="Q68" i="1" s="1"/>
  <c r="Q69" i="1" s="1"/>
</calcChain>
</file>

<file path=xl/sharedStrings.xml><?xml version="1.0" encoding="utf-8"?>
<sst xmlns="http://schemas.openxmlformats.org/spreadsheetml/2006/main" count="150" uniqueCount="57">
  <si>
    <t>PERHITUNGAN INDEKS PRESTASI (IP) AYAM PEDAGING</t>
  </si>
  <si>
    <t>KUDUS FARM</t>
  </si>
  <si>
    <t>ANGKATAN 02 2017</t>
  </si>
  <si>
    <t>Kandang                  : Global</t>
  </si>
  <si>
    <t xml:space="preserve">Strain Ayam        : </t>
  </si>
  <si>
    <t>Cobb</t>
  </si>
  <si>
    <t>Pemilik Kandang        : Aliyudin</t>
  </si>
  <si>
    <t>Tanggal Diterima :</t>
  </si>
  <si>
    <t xml:space="preserve">I </t>
  </si>
  <si>
    <t>Masuk Doc</t>
  </si>
  <si>
    <t>ek</t>
  </si>
  <si>
    <t>Jumlah box</t>
  </si>
  <si>
    <t>:</t>
  </si>
  <si>
    <t>box</t>
  </si>
  <si>
    <t>Kondisi Ayam</t>
  </si>
  <si>
    <t>Baik</t>
  </si>
  <si>
    <t>Ekstra</t>
  </si>
  <si>
    <t>Selisih</t>
  </si>
  <si>
    <t>Jumlah DOC</t>
  </si>
  <si>
    <t>II</t>
  </si>
  <si>
    <t>DEPLESI</t>
  </si>
  <si>
    <t>ekor</t>
  </si>
  <si>
    <t>%</t>
  </si>
  <si>
    <t>Jumlah deplesi</t>
  </si>
  <si>
    <t>III</t>
  </si>
  <si>
    <t>PENJUALAN</t>
  </si>
  <si>
    <t>kg</t>
  </si>
  <si>
    <t>rata - rata</t>
  </si>
  <si>
    <t>Jumlah</t>
  </si>
  <si>
    <t>% Penjualan</t>
  </si>
  <si>
    <t>IV</t>
  </si>
  <si>
    <t>KONSUMSI PAKAN</t>
  </si>
  <si>
    <t>Jenis Pakan</t>
  </si>
  <si>
    <t>KG</t>
  </si>
  <si>
    <t xml:space="preserve">JUMLAH </t>
  </si>
  <si>
    <t>V</t>
  </si>
  <si>
    <t>FEED CONVERSI</t>
  </si>
  <si>
    <t>VI</t>
  </si>
  <si>
    <t>UMUR RATA - RATA</t>
  </si>
  <si>
    <t>x</t>
  </si>
  <si>
    <t>Ekor</t>
  </si>
  <si>
    <t>Rata - Rata Umur</t>
  </si>
  <si>
    <t>VII</t>
  </si>
  <si>
    <t>INDEKS PRESTASI</t>
  </si>
  <si>
    <t>-</t>
  </si>
  <si>
    <t>Deplesi</t>
  </si>
  <si>
    <t>BB</t>
  </si>
  <si>
    <t>=</t>
  </si>
  <si>
    <t>NILAI</t>
  </si>
  <si>
    <t>FC</t>
  </si>
  <si>
    <t>Umur</t>
  </si>
  <si>
    <t>TOTAL</t>
  </si>
  <si>
    <t>PEMBULATAN</t>
  </si>
  <si>
    <t>Pembukuan Tanggal</t>
  </si>
  <si>
    <t>Mengetahui Pimpinan,</t>
  </si>
  <si>
    <t>(Julia Rahmah)</t>
  </si>
  <si>
    <t>(Pieter Salim)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</si>
</sst>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0.0"/>
    <numFmt numFmtId="166" formatCode="0.000"/>
    <numFmt numFmtId="167" formatCode="[$-F800]dddd\,\ mmmm\ dd\,\ yyyy"/>
  </numFmts>
  <fonts count="8" x14ac:knownFonts="1">
    <font>
      <sz val="11"/>
      <color theme="1"/>
      <name val="Calibri"/>
      <family val="2"/>
      <charset val="1"/>
      <scheme val="minor"/>
    </font>
    <font>
      <sz val="17"/>
      <name val="Tahoma"/>
      <family val="2"/>
    </font>
    <font>
      <sz val="17"/>
      <name val="Arial"/>
      <family val="2"/>
    </font>
    <font>
      <b/>
      <sz val="12"/>
      <name val="Arial"/>
      <family val="2"/>
    </font>
    <font>
      <sz val="10"/>
      <name val="Tahoma"/>
      <family val="2"/>
    </font>
    <font>
      <sz val="9"/>
      <name val="Tahoma"/>
      <family val="2"/>
    </font>
    <font>
      <sz val="5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5" fontId="4" fillId="0" borderId="0" xfId="0" applyNumberFormat="1" applyFont="1"/>
    <xf numFmtId="14" fontId="4" fillId="0" borderId="0" xfId="0" applyNumberFormat="1" applyFont="1" applyAlignment="1">
      <alignment horizontal="left"/>
    </xf>
    <xf numFmtId="0" fontId="5" fillId="0" borderId="1" xfId="0" applyFont="1" applyBorder="1"/>
    <xf numFmtId="0" fontId="5" fillId="0" borderId="4" xfId="0" applyFont="1" applyBorder="1"/>
    <xf numFmtId="3" fontId="5" fillId="0" borderId="0" xfId="0" applyNumberFormat="1" applyFont="1" applyBorder="1" applyAlignment="1"/>
    <xf numFmtId="0" fontId="5" fillId="0" borderId="14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3" fontId="5" fillId="0" borderId="0" xfId="0" applyNumberFormat="1" applyFont="1" applyBorder="1"/>
    <xf numFmtId="4" fontId="5" fillId="0" borderId="0" xfId="0" applyNumberFormat="1" applyFont="1" applyBorder="1"/>
    <xf numFmtId="0" fontId="5" fillId="0" borderId="13" xfId="0" applyFont="1" applyBorder="1"/>
    <xf numFmtId="0" fontId="5" fillId="0" borderId="13" xfId="0" applyFont="1" applyBorder="1" applyAlignment="1">
      <alignment horizontal="center"/>
    </xf>
    <xf numFmtId="4" fontId="5" fillId="0" borderId="13" xfId="0" applyNumberFormat="1" applyFont="1" applyBorder="1"/>
    <xf numFmtId="0" fontId="5" fillId="0" borderId="11" xfId="0" applyFont="1" applyBorder="1"/>
    <xf numFmtId="0" fontId="5" fillId="0" borderId="10" xfId="0" applyFont="1" applyBorder="1"/>
    <xf numFmtId="0" fontId="5" fillId="0" borderId="0" xfId="0" applyFont="1" applyBorder="1" applyAlignment="1">
      <alignment horizontal="right"/>
    </xf>
    <xf numFmtId="0" fontId="5" fillId="0" borderId="17" xfId="0" applyFont="1" applyBorder="1"/>
    <xf numFmtId="0" fontId="5" fillId="0" borderId="17" xfId="0" applyFont="1" applyBorder="1" applyAlignment="1">
      <alignment horizontal="center"/>
    </xf>
    <xf numFmtId="0" fontId="5" fillId="0" borderId="16" xfId="0" applyFont="1" applyBorder="1"/>
    <xf numFmtId="0" fontId="5" fillId="0" borderId="20" xfId="0" applyFont="1" applyBorder="1"/>
    <xf numFmtId="4" fontId="5" fillId="0" borderId="20" xfId="0" applyNumberFormat="1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/>
    <xf numFmtId="0" fontId="5" fillId="0" borderId="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4" fontId="5" fillId="0" borderId="0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/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164" fontId="5" fillId="0" borderId="0" xfId="0" applyNumberFormat="1" applyFont="1" applyBorder="1"/>
    <xf numFmtId="164" fontId="5" fillId="0" borderId="0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vertical="center"/>
    </xf>
    <xf numFmtId="164" fontId="5" fillId="0" borderId="17" xfId="0" applyNumberFormat="1" applyFont="1" applyBorder="1"/>
    <xf numFmtId="0" fontId="5" fillId="0" borderId="23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/>
    <xf numFmtId="0" fontId="5" fillId="0" borderId="27" xfId="0" applyFont="1" applyBorder="1" applyAlignment="1">
      <alignment horizontal="center"/>
    </xf>
    <xf numFmtId="0" fontId="5" fillId="0" borderId="29" xfId="0" applyFont="1" applyBorder="1"/>
    <xf numFmtId="4" fontId="5" fillId="0" borderId="13" xfId="0" applyNumberFormat="1" applyFont="1" applyBorder="1" applyAlignment="1">
      <alignment horizontal="center"/>
    </xf>
    <xf numFmtId="166" fontId="6" fillId="0" borderId="0" xfId="0" applyNumberFormat="1" applyFont="1" applyBorder="1"/>
    <xf numFmtId="0" fontId="5" fillId="0" borderId="23" xfId="0" applyFont="1" applyBorder="1"/>
    <xf numFmtId="0" fontId="5" fillId="0" borderId="25" xfId="0" applyFont="1" applyBorder="1"/>
    <xf numFmtId="4" fontId="5" fillId="0" borderId="21" xfId="0" applyNumberFormat="1" applyFont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 vertical="center"/>
    </xf>
    <xf numFmtId="0" fontId="7" fillId="0" borderId="30" xfId="0" applyFont="1" applyBorder="1"/>
    <xf numFmtId="0" fontId="0" fillId="0" borderId="31" xfId="0" applyBorder="1"/>
    <xf numFmtId="0" fontId="7" fillId="0" borderId="31" xfId="0" applyFont="1" applyBorder="1"/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5" xfId="0" applyBorder="1" applyAlignment="1">
      <alignment horizontal="center" vertical="center"/>
    </xf>
    <xf numFmtId="0" fontId="5" fillId="0" borderId="41" xfId="0" applyFont="1" applyBorder="1"/>
    <xf numFmtId="4" fontId="5" fillId="0" borderId="0" xfId="0" applyNumberFormat="1" applyFont="1" applyBorder="1" applyAlignment="1">
      <alignment horizontal="right"/>
    </xf>
    <xf numFmtId="0" fontId="5" fillId="0" borderId="39" xfId="0" applyFont="1" applyBorder="1" applyAlignment="1"/>
    <xf numFmtId="0" fontId="5" fillId="0" borderId="41" xfId="0" applyFont="1" applyBorder="1" applyAlignment="1"/>
    <xf numFmtId="0" fontId="5" fillId="0" borderId="43" xfId="0" applyFont="1" applyBorder="1"/>
    <xf numFmtId="3" fontId="5" fillId="0" borderId="27" xfId="0" applyNumberFormat="1" applyFont="1" applyBorder="1"/>
    <xf numFmtId="4" fontId="5" fillId="0" borderId="27" xfId="0" applyNumberFormat="1" applyFont="1" applyBorder="1"/>
    <xf numFmtId="0" fontId="5" fillId="0" borderId="39" xfId="0" applyFont="1" applyBorder="1"/>
    <xf numFmtId="0" fontId="5" fillId="0" borderId="44" xfId="0" applyFont="1" applyBorder="1"/>
    <xf numFmtId="3" fontId="5" fillId="0" borderId="44" xfId="0" applyNumberFormat="1" applyFont="1" applyBorder="1"/>
    <xf numFmtId="4" fontId="5" fillId="0" borderId="44" xfId="0" applyNumberFormat="1" applyFont="1" applyBorder="1"/>
    <xf numFmtId="0" fontId="5" fillId="0" borderId="44" xfId="0" applyFont="1" applyBorder="1" applyAlignment="1">
      <alignment horizontal="right"/>
    </xf>
    <xf numFmtId="0" fontId="5" fillId="0" borderId="44" xfId="0" applyFont="1" applyBorder="1" applyAlignment="1">
      <alignment horizontal="center"/>
    </xf>
    <xf numFmtId="0" fontId="5" fillId="0" borderId="45" xfId="0" applyFont="1" applyBorder="1"/>
    <xf numFmtId="0" fontId="5" fillId="0" borderId="13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49" xfId="0" applyFont="1" applyBorder="1"/>
    <xf numFmtId="0" fontId="5" fillId="0" borderId="50" xfId="0" applyFont="1" applyBorder="1"/>
    <xf numFmtId="0" fontId="5" fillId="0" borderId="51" xfId="0" applyFont="1" applyBorder="1"/>
    <xf numFmtId="0" fontId="5" fillId="0" borderId="38" xfId="0" applyFont="1" applyBorder="1"/>
    <xf numFmtId="0" fontId="5" fillId="0" borderId="40" xfId="0" applyFont="1" applyBorder="1"/>
    <xf numFmtId="0" fontId="5" fillId="0" borderId="42" xfId="0" applyFont="1" applyBorder="1"/>
    <xf numFmtId="3" fontId="5" fillId="0" borderId="38" xfId="0" applyNumberFormat="1" applyFont="1" applyBorder="1" applyAlignment="1"/>
    <xf numFmtId="3" fontId="5" fillId="0" borderId="27" xfId="0" applyNumberFormat="1" applyFont="1" applyBorder="1" applyAlignment="1"/>
    <xf numFmtId="3" fontId="5" fillId="0" borderId="40" xfId="0" applyNumberFormat="1" applyFont="1" applyBorder="1" applyAlignment="1"/>
    <xf numFmtId="3" fontId="5" fillId="0" borderId="40" xfId="0" applyNumberFormat="1" applyFont="1" applyBorder="1" applyAlignment="1">
      <alignment horizontal="right"/>
    </xf>
    <xf numFmtId="3" fontId="5" fillId="0" borderId="46" xfId="0" applyNumberFormat="1" applyFont="1" applyBorder="1" applyAlignment="1"/>
    <xf numFmtId="3" fontId="5" fillId="0" borderId="44" xfId="0" applyNumberFormat="1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4" fontId="5" fillId="0" borderId="44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4" fontId="5" fillId="0" borderId="21" xfId="0" applyNumberFormat="1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7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5" fillId="0" borderId="20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7" fontId="7" fillId="0" borderId="31" xfId="0" applyNumberFormat="1" applyFont="1" applyBorder="1" applyAlignment="1">
      <alignment horizontal="center"/>
    </xf>
    <xf numFmtId="167" fontId="7" fillId="0" borderId="32" xfId="0" applyNumberFormat="1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165" fontId="5" fillId="0" borderId="26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4" fontId="5" fillId="0" borderId="3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4" fontId="0" fillId="0" borderId="1" xfId="0" applyNumberFormat="1" applyBorder="1" applyAlignment="1">
      <alignment vertical="center"/>
    </xf>
    <xf numFmtId="4" fontId="0" fillId="0" borderId="8" xfId="0" applyNumberForma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2" fontId="5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0" borderId="3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6ECF-976C-46C8-86CD-D567870EC7AA}">
  <dimension ref="A1:Q78"/>
  <sheetViews>
    <sheetView tabSelected="1" topLeftCell="A22" workbookViewId="0">
      <selection activeCell="M39" sqref="M39"/>
    </sheetView>
  </sheetViews>
  <sheetFormatPr defaultRowHeight="15" x14ac:dyDescent="0.25"/>
  <cols>
    <col min="2" max="2" width="16.85546875" bestFit="1" customWidth="1"/>
    <col min="4" max="4" width="11.28515625" bestFit="1" customWidth="1"/>
    <col min="13" max="13" width="11.140625" bestFit="1" customWidth="1"/>
  </cols>
  <sheetData>
    <row r="1" spans="1:17" ht="21.75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</row>
    <row r="2" spans="1:17" ht="21.75" x14ac:dyDescent="0.3">
      <c r="A2" s="194" t="s">
        <v>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</row>
    <row r="3" spans="1:17" ht="15.75" x14ac:dyDescent="0.25">
      <c r="A3" s="195" t="s">
        <v>2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1:17" x14ac:dyDescent="0.25">
      <c r="A4" s="1"/>
      <c r="H4" s="1"/>
    </row>
    <row r="5" spans="1:17" x14ac:dyDescent="0.25">
      <c r="A5" s="2" t="s">
        <v>3</v>
      </c>
      <c r="B5" s="3"/>
      <c r="C5" s="3"/>
      <c r="D5" s="3"/>
      <c r="E5" s="3"/>
      <c r="F5" s="3"/>
      <c r="G5" s="3"/>
      <c r="H5" s="4"/>
      <c r="I5" s="3"/>
      <c r="J5" s="3" t="s">
        <v>4</v>
      </c>
      <c r="K5" s="3"/>
      <c r="L5" s="3"/>
      <c r="M5" s="3" t="s">
        <v>5</v>
      </c>
      <c r="N5" s="3"/>
      <c r="O5" s="3"/>
      <c r="P5" s="3"/>
      <c r="Q5" s="3"/>
    </row>
    <row r="6" spans="1:17" x14ac:dyDescent="0.25">
      <c r="A6" s="2" t="s">
        <v>6</v>
      </c>
      <c r="B6" s="3"/>
      <c r="C6" s="3"/>
      <c r="D6" s="3"/>
      <c r="E6" s="3"/>
      <c r="F6" s="3"/>
      <c r="G6" s="3"/>
      <c r="H6" s="4"/>
      <c r="I6" s="3"/>
      <c r="J6" s="5" t="s">
        <v>7</v>
      </c>
      <c r="K6" s="5"/>
      <c r="L6" s="3"/>
      <c r="M6" s="6">
        <v>43171</v>
      </c>
      <c r="N6" s="3"/>
      <c r="O6" s="3"/>
      <c r="P6" s="3"/>
      <c r="Q6" s="3"/>
    </row>
    <row r="7" spans="1:17" x14ac:dyDescent="0.25">
      <c r="A7" s="2"/>
      <c r="B7" s="3"/>
      <c r="C7" s="3"/>
      <c r="D7" s="3"/>
      <c r="E7" s="3"/>
      <c r="F7" s="3"/>
      <c r="G7" s="3"/>
      <c r="H7" s="4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126" t="s">
        <v>8</v>
      </c>
      <c r="B8" s="87" t="s">
        <v>9</v>
      </c>
      <c r="C8" s="90"/>
      <c r="D8" s="91">
        <v>0</v>
      </c>
      <c r="E8" s="83" t="s">
        <v>10</v>
      </c>
      <c r="F8" s="149" t="s">
        <v>11</v>
      </c>
      <c r="G8" s="149" t="s">
        <v>12</v>
      </c>
      <c r="H8" s="196">
        <v>350</v>
      </c>
      <c r="I8" s="197" t="s">
        <v>13</v>
      </c>
      <c r="J8" s="197"/>
      <c r="K8" s="197"/>
      <c r="L8" s="198"/>
      <c r="M8" s="149" t="s">
        <v>14</v>
      </c>
      <c r="N8" s="74"/>
      <c r="O8" s="84"/>
      <c r="P8" s="126" t="s">
        <v>12</v>
      </c>
      <c r="Q8" s="126" t="s">
        <v>15</v>
      </c>
    </row>
    <row r="9" spans="1:17" x14ac:dyDescent="0.25">
      <c r="A9" s="127"/>
      <c r="B9" s="88" t="s">
        <v>16</v>
      </c>
      <c r="C9" s="92"/>
      <c r="D9" s="9">
        <v>0</v>
      </c>
      <c r="E9" s="35" t="s">
        <v>10</v>
      </c>
      <c r="F9" s="163"/>
      <c r="G9" s="163"/>
      <c r="H9" s="163"/>
      <c r="I9" s="199"/>
      <c r="J9" s="199"/>
      <c r="K9" s="199"/>
      <c r="L9" s="199"/>
      <c r="M9" s="163"/>
      <c r="N9" s="67"/>
      <c r="O9" s="85"/>
      <c r="P9" s="190"/>
      <c r="Q9" s="127"/>
    </row>
    <row r="10" spans="1:17" x14ac:dyDescent="0.25">
      <c r="A10" s="127"/>
      <c r="B10" s="88" t="s">
        <v>17</v>
      </c>
      <c r="C10" s="93"/>
      <c r="D10" s="91">
        <v>0</v>
      </c>
      <c r="E10" s="35" t="s">
        <v>10</v>
      </c>
      <c r="F10" s="163"/>
      <c r="G10" s="163"/>
      <c r="H10" s="163"/>
      <c r="I10" s="199"/>
      <c r="J10" s="199"/>
      <c r="K10" s="199"/>
      <c r="L10" s="199"/>
      <c r="M10" s="163"/>
      <c r="N10" s="67"/>
      <c r="O10" s="85"/>
      <c r="P10" s="190"/>
      <c r="Q10" s="127"/>
    </row>
    <row r="11" spans="1:17" x14ac:dyDescent="0.25">
      <c r="A11" s="127"/>
      <c r="B11" s="88"/>
      <c r="C11" s="93"/>
      <c r="D11" s="9">
        <v>0</v>
      </c>
      <c r="E11" s="35" t="s">
        <v>10</v>
      </c>
      <c r="F11" s="163"/>
      <c r="G11" s="163"/>
      <c r="H11" s="163"/>
      <c r="I11" s="199"/>
      <c r="J11" s="199"/>
      <c r="K11" s="199"/>
      <c r="L11" s="199"/>
      <c r="M11" s="163"/>
      <c r="N11" s="67"/>
      <c r="O11" s="85"/>
      <c r="P11" s="190"/>
      <c r="Q11" s="127"/>
    </row>
    <row r="12" spans="1:17" x14ac:dyDescent="0.25">
      <c r="A12" s="128"/>
      <c r="B12" s="89"/>
      <c r="C12" s="93"/>
      <c r="D12" s="91">
        <v>0</v>
      </c>
      <c r="E12" s="35" t="s">
        <v>10</v>
      </c>
      <c r="F12" s="163"/>
      <c r="G12" s="163"/>
      <c r="H12" s="163"/>
      <c r="I12" s="199"/>
      <c r="J12" s="199"/>
      <c r="K12" s="199"/>
      <c r="L12" s="199"/>
      <c r="M12" s="163"/>
      <c r="N12" s="67"/>
      <c r="O12" s="85"/>
      <c r="P12" s="190"/>
      <c r="Q12" s="127"/>
    </row>
    <row r="13" spans="1:17" x14ac:dyDescent="0.25">
      <c r="A13" s="173" t="s">
        <v>18</v>
      </c>
      <c r="B13" s="192"/>
      <c r="C13" s="94"/>
      <c r="D13" s="95">
        <f>D8+D9+D10+D11+D12</f>
        <v>0</v>
      </c>
      <c r="E13" s="96" t="s">
        <v>10</v>
      </c>
      <c r="F13" s="166"/>
      <c r="G13" s="166"/>
      <c r="H13" s="166"/>
      <c r="I13" s="200"/>
      <c r="J13" s="200"/>
      <c r="K13" s="200"/>
      <c r="L13" s="200"/>
      <c r="M13" s="166"/>
      <c r="N13" s="71"/>
      <c r="O13" s="86"/>
      <c r="P13" s="191"/>
      <c r="Q13" s="128"/>
    </row>
    <row r="14" spans="1:17" x14ac:dyDescent="0.25">
      <c r="A14" s="11"/>
      <c r="B14" s="12"/>
      <c r="C14" s="56"/>
      <c r="D14" s="56"/>
      <c r="E14" s="56"/>
      <c r="F14" s="56"/>
      <c r="G14" s="56"/>
      <c r="H14" s="48"/>
      <c r="I14" s="56"/>
      <c r="J14" s="56"/>
      <c r="K14" s="56"/>
      <c r="L14" s="56"/>
      <c r="M14" s="56"/>
      <c r="N14" s="56"/>
      <c r="O14" s="56"/>
      <c r="P14" s="56"/>
      <c r="Q14" s="12"/>
    </row>
    <row r="15" spans="1:17" x14ac:dyDescent="0.25">
      <c r="A15" s="129" t="s">
        <v>19</v>
      </c>
      <c r="B15" s="131" t="s">
        <v>20</v>
      </c>
      <c r="C15" s="201"/>
      <c r="D15" s="106"/>
      <c r="E15" s="16" t="s">
        <v>12</v>
      </c>
      <c r="F15" s="17">
        <v>0</v>
      </c>
      <c r="G15" s="15" t="s">
        <v>21</v>
      </c>
      <c r="H15" s="16"/>
      <c r="I15" s="15"/>
      <c r="J15" s="15"/>
      <c r="K15" s="15"/>
      <c r="L15" s="15"/>
      <c r="M15" s="68">
        <f>IF(F15&lt;=0,0,+F15*100/D13)</f>
        <v>0</v>
      </c>
      <c r="N15" s="15"/>
      <c r="O15" s="15"/>
      <c r="P15" s="16"/>
      <c r="Q15" s="69" t="s">
        <v>22</v>
      </c>
    </row>
    <row r="16" spans="1:17" x14ac:dyDescent="0.25">
      <c r="A16" s="130"/>
      <c r="B16" s="132"/>
      <c r="C16" s="99"/>
      <c r="D16" s="100"/>
      <c r="E16" s="16" t="s">
        <v>12</v>
      </c>
      <c r="F16" s="17">
        <v>0</v>
      </c>
      <c r="G16" s="15" t="s">
        <v>21</v>
      </c>
      <c r="H16" s="16"/>
      <c r="I16" s="15"/>
      <c r="J16" s="15"/>
      <c r="K16" s="15"/>
      <c r="L16" s="15"/>
      <c r="M16" s="68">
        <f>IF(F16&lt;=0,0,+F16*100/D13)</f>
        <v>0</v>
      </c>
      <c r="N16" s="15"/>
      <c r="O16" s="15"/>
      <c r="P16" s="15"/>
      <c r="Q16" s="67" t="s">
        <v>22</v>
      </c>
    </row>
    <row r="17" spans="1:17" x14ac:dyDescent="0.25">
      <c r="A17" s="130"/>
      <c r="B17" s="132"/>
      <c r="C17" s="99"/>
      <c r="D17" s="100"/>
      <c r="E17" s="16" t="s">
        <v>12</v>
      </c>
      <c r="F17" s="17">
        <v>0</v>
      </c>
      <c r="G17" s="15" t="s">
        <v>21</v>
      </c>
      <c r="H17" s="16"/>
      <c r="I17" s="15"/>
      <c r="J17" s="15"/>
      <c r="K17" s="15"/>
      <c r="L17" s="15"/>
      <c r="M17" s="68">
        <f>IF(F17&lt;=0,0,+F17*100/D13)</f>
        <v>0</v>
      </c>
      <c r="N17" s="15"/>
      <c r="O17" s="15"/>
      <c r="P17" s="15"/>
      <c r="Q17" s="67" t="s">
        <v>22</v>
      </c>
    </row>
    <row r="18" spans="1:17" x14ac:dyDescent="0.25">
      <c r="A18" s="130"/>
      <c r="B18" s="132"/>
      <c r="C18" s="99"/>
      <c r="D18" s="100"/>
      <c r="E18" s="16" t="s">
        <v>12</v>
      </c>
      <c r="F18" s="17">
        <v>0</v>
      </c>
      <c r="G18" s="15" t="s">
        <v>21</v>
      </c>
      <c r="H18" s="16"/>
      <c r="I18" s="15"/>
      <c r="J18" s="15"/>
      <c r="K18" s="15"/>
      <c r="L18" s="15"/>
      <c r="M18" s="68">
        <f>IF(F18&lt;=0,0,+F18*100/D13)</f>
        <v>0</v>
      </c>
      <c r="N18" s="15"/>
      <c r="O18" s="15"/>
      <c r="P18" s="15"/>
      <c r="Q18" s="67" t="s">
        <v>22</v>
      </c>
    </row>
    <row r="19" spans="1:17" x14ac:dyDescent="0.25">
      <c r="A19" s="130"/>
      <c r="B19" s="132"/>
      <c r="C19" s="99"/>
      <c r="D19" s="100"/>
      <c r="E19" s="98" t="s">
        <v>12</v>
      </c>
      <c r="F19" s="17">
        <v>0</v>
      </c>
      <c r="G19" s="15" t="s">
        <v>21</v>
      </c>
      <c r="H19" s="16"/>
      <c r="I19" s="15"/>
      <c r="J19" s="15"/>
      <c r="K19" s="15"/>
      <c r="L19" s="15"/>
      <c r="M19" s="68">
        <f>IF(F19&lt;=0,0,+F19*100/D13)</f>
        <v>0</v>
      </c>
      <c r="N19" s="15"/>
      <c r="O19" s="15"/>
      <c r="P19" s="15"/>
      <c r="Q19" s="70" t="s">
        <v>22</v>
      </c>
    </row>
    <row r="20" spans="1:17" x14ac:dyDescent="0.25">
      <c r="A20" s="130"/>
      <c r="B20" s="132"/>
      <c r="C20" s="99"/>
      <c r="D20" s="100"/>
      <c r="E20" s="98" t="s">
        <v>12</v>
      </c>
      <c r="F20" s="17">
        <v>0</v>
      </c>
      <c r="G20" s="15" t="s">
        <v>21</v>
      </c>
      <c r="H20" s="16"/>
      <c r="I20" s="15"/>
      <c r="J20" s="15"/>
      <c r="K20" s="15"/>
      <c r="L20" s="15"/>
      <c r="M20" s="68">
        <f>IF(F20&lt;=0,0,+F20*100/D13)</f>
        <v>0</v>
      </c>
      <c r="N20" s="15"/>
      <c r="O20" s="15"/>
      <c r="P20" s="15"/>
      <c r="Q20" s="67" t="s">
        <v>22</v>
      </c>
    </row>
    <row r="21" spans="1:17" x14ac:dyDescent="0.25">
      <c r="A21" s="130"/>
      <c r="B21" s="132"/>
      <c r="C21" s="99"/>
      <c r="D21" s="100"/>
      <c r="E21" s="98" t="s">
        <v>12</v>
      </c>
      <c r="F21" s="17">
        <v>0</v>
      </c>
      <c r="G21" s="15" t="s">
        <v>21</v>
      </c>
      <c r="H21" s="16"/>
      <c r="I21" s="15"/>
      <c r="J21" s="15"/>
      <c r="K21" s="15"/>
      <c r="L21" s="15"/>
      <c r="M21" s="68">
        <f>IF(F21&lt;=0,0,+F21*100/D13)</f>
        <v>0</v>
      </c>
      <c r="N21" s="15"/>
      <c r="O21" s="15"/>
      <c r="P21" s="15"/>
      <c r="Q21" s="67" t="s">
        <v>22</v>
      </c>
    </row>
    <row r="22" spans="1:17" x14ac:dyDescent="0.25">
      <c r="A22" s="130"/>
      <c r="B22" s="132"/>
      <c r="C22" s="101"/>
      <c r="D22" s="102"/>
      <c r="E22" s="98" t="s">
        <v>12</v>
      </c>
      <c r="F22" s="17">
        <v>0</v>
      </c>
      <c r="G22" s="15" t="s">
        <v>21</v>
      </c>
      <c r="H22" s="16"/>
      <c r="I22" s="15"/>
      <c r="J22" s="15"/>
      <c r="K22" s="15"/>
      <c r="L22" s="15"/>
      <c r="M22" s="68">
        <f>IF(F22&lt;=0,0,+F22*100/D13)</f>
        <v>0</v>
      </c>
      <c r="N22" s="15"/>
      <c r="O22" s="15"/>
      <c r="P22" s="15"/>
      <c r="Q22" s="67" t="s">
        <v>22</v>
      </c>
    </row>
    <row r="23" spans="1:17" x14ac:dyDescent="0.25">
      <c r="A23" s="173" t="s">
        <v>23</v>
      </c>
      <c r="B23" s="174"/>
      <c r="C23" s="75"/>
      <c r="D23" s="75">
        <f>SUM(D15:D22)</f>
        <v>0</v>
      </c>
      <c r="E23" s="75"/>
      <c r="F23" s="76">
        <f>SUM(F15:F22)</f>
        <v>0</v>
      </c>
      <c r="G23" s="75" t="s">
        <v>21</v>
      </c>
      <c r="H23" s="79"/>
      <c r="I23" s="75"/>
      <c r="J23" s="75"/>
      <c r="K23" s="75"/>
      <c r="L23" s="75"/>
      <c r="M23" s="97">
        <f>IF(F23&lt;=0,0,+F23*100/D13)</f>
        <v>0</v>
      </c>
      <c r="N23" s="75"/>
      <c r="O23" s="75"/>
      <c r="P23" s="75"/>
      <c r="Q23" s="80" t="s">
        <v>22</v>
      </c>
    </row>
    <row r="24" spans="1:17" x14ac:dyDescent="0.25">
      <c r="A24" s="11"/>
      <c r="B24" s="12"/>
      <c r="C24" s="12"/>
      <c r="D24" s="12"/>
      <c r="E24" s="12"/>
      <c r="F24" s="12"/>
      <c r="G24" s="12"/>
      <c r="H24" s="11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" customHeight="1" x14ac:dyDescent="0.25">
      <c r="A25" s="133" t="s">
        <v>24</v>
      </c>
      <c r="B25" s="135" t="s">
        <v>25</v>
      </c>
      <c r="C25" s="51">
        <v>1</v>
      </c>
      <c r="D25" s="72"/>
      <c r="E25" s="72" t="s">
        <v>21</v>
      </c>
      <c r="F25" s="73"/>
      <c r="G25" s="24" t="s">
        <v>26</v>
      </c>
      <c r="H25" s="52"/>
      <c r="I25" s="106" t="s">
        <v>27</v>
      </c>
      <c r="J25" s="106"/>
      <c r="K25" s="106"/>
      <c r="L25" s="106"/>
      <c r="M25" s="73">
        <f>IF(F25&lt;=0,0,+F25/D25)</f>
        <v>0</v>
      </c>
      <c r="N25" s="51"/>
      <c r="O25" s="51"/>
      <c r="P25" s="51"/>
      <c r="Q25" s="74" t="s">
        <v>26</v>
      </c>
    </row>
    <row r="26" spans="1:17" x14ac:dyDescent="0.25">
      <c r="A26" s="134"/>
      <c r="B26" s="136"/>
      <c r="C26" s="15">
        <v>2</v>
      </c>
      <c r="D26" s="17"/>
      <c r="E26" s="17" t="s">
        <v>21</v>
      </c>
      <c r="F26" s="18"/>
      <c r="G26" s="24" t="s">
        <v>26</v>
      </c>
      <c r="H26" s="16"/>
      <c r="I26" s="100" t="s">
        <v>27</v>
      </c>
      <c r="J26" s="100"/>
      <c r="K26" s="100"/>
      <c r="L26" s="100"/>
      <c r="M26" s="73">
        <f t="shared" ref="M26:M37" si="0">IF(F26&lt;=0,0,+F26/D26)</f>
        <v>0</v>
      </c>
      <c r="N26" s="15"/>
      <c r="O26" s="15"/>
      <c r="P26" s="15"/>
      <c r="Q26" s="67" t="s">
        <v>26</v>
      </c>
    </row>
    <row r="27" spans="1:17" x14ac:dyDescent="0.25">
      <c r="A27" s="134"/>
      <c r="B27" s="136"/>
      <c r="C27" s="15">
        <v>3</v>
      </c>
      <c r="D27" s="17"/>
      <c r="E27" s="17" t="s">
        <v>21</v>
      </c>
      <c r="F27" s="18"/>
      <c r="G27" s="24" t="s">
        <v>26</v>
      </c>
      <c r="H27" s="16"/>
      <c r="I27" s="100" t="s">
        <v>27</v>
      </c>
      <c r="J27" s="100"/>
      <c r="K27" s="100"/>
      <c r="L27" s="100"/>
      <c r="M27" s="73">
        <f t="shared" si="0"/>
        <v>0</v>
      </c>
      <c r="N27" s="15"/>
      <c r="O27" s="15"/>
      <c r="P27" s="15"/>
      <c r="Q27" s="67" t="s">
        <v>26</v>
      </c>
    </row>
    <row r="28" spans="1:17" x14ac:dyDescent="0.25">
      <c r="A28" s="134"/>
      <c r="B28" s="136"/>
      <c r="C28" s="15">
        <v>4</v>
      </c>
      <c r="D28" s="17"/>
      <c r="E28" s="17" t="s">
        <v>21</v>
      </c>
      <c r="F28" s="18"/>
      <c r="G28" s="24" t="s">
        <v>26</v>
      </c>
      <c r="H28" s="16"/>
      <c r="I28" s="100" t="s">
        <v>27</v>
      </c>
      <c r="J28" s="100"/>
      <c r="K28" s="100"/>
      <c r="L28" s="100"/>
      <c r="M28" s="73">
        <f t="shared" si="0"/>
        <v>0</v>
      </c>
      <c r="N28" s="15"/>
      <c r="O28" s="15"/>
      <c r="P28" s="15"/>
      <c r="Q28" s="67" t="s">
        <v>26</v>
      </c>
    </row>
    <row r="29" spans="1:17" x14ac:dyDescent="0.25">
      <c r="A29" s="134"/>
      <c r="B29" s="136"/>
      <c r="C29" s="15">
        <v>5</v>
      </c>
      <c r="D29" s="17"/>
      <c r="E29" s="17" t="s">
        <v>21</v>
      </c>
      <c r="F29" s="18"/>
      <c r="G29" s="24" t="s">
        <v>26</v>
      </c>
      <c r="H29" s="16"/>
      <c r="I29" s="100" t="s">
        <v>27</v>
      </c>
      <c r="J29" s="100"/>
      <c r="K29" s="100"/>
      <c r="L29" s="100"/>
      <c r="M29" s="73">
        <f t="shared" si="0"/>
        <v>0</v>
      </c>
      <c r="N29" s="15"/>
      <c r="O29" s="15"/>
      <c r="P29" s="15"/>
      <c r="Q29" s="67" t="s">
        <v>26</v>
      </c>
    </row>
    <row r="30" spans="1:17" x14ac:dyDescent="0.25">
      <c r="A30" s="134"/>
      <c r="B30" s="136"/>
      <c r="C30" s="15">
        <v>6</v>
      </c>
      <c r="D30" s="17"/>
      <c r="E30" s="17"/>
      <c r="F30" s="18">
        <v>0</v>
      </c>
      <c r="G30" s="24" t="s">
        <v>26</v>
      </c>
      <c r="H30" s="16"/>
      <c r="I30" s="106" t="s">
        <v>27</v>
      </c>
      <c r="J30" s="106"/>
      <c r="K30" s="106"/>
      <c r="L30" s="106"/>
      <c r="M30" s="73">
        <f t="shared" si="0"/>
        <v>0</v>
      </c>
      <c r="N30" s="15"/>
      <c r="O30" s="15"/>
      <c r="P30" s="15"/>
      <c r="Q30" s="74" t="s">
        <v>26</v>
      </c>
    </row>
    <row r="31" spans="1:17" x14ac:dyDescent="0.25">
      <c r="A31" s="134"/>
      <c r="B31" s="136"/>
      <c r="C31" s="15">
        <v>7</v>
      </c>
      <c r="D31" s="17"/>
      <c r="E31" s="17"/>
      <c r="F31" s="18">
        <v>0</v>
      </c>
      <c r="G31" s="24" t="s">
        <v>26</v>
      </c>
      <c r="H31" s="16"/>
      <c r="I31" s="100" t="s">
        <v>27</v>
      </c>
      <c r="J31" s="100"/>
      <c r="K31" s="100"/>
      <c r="L31" s="100"/>
      <c r="M31" s="73">
        <f t="shared" si="0"/>
        <v>0</v>
      </c>
      <c r="N31" s="15"/>
      <c r="O31" s="15"/>
      <c r="P31" s="15"/>
      <c r="Q31" s="67" t="s">
        <v>26</v>
      </c>
    </row>
    <row r="32" spans="1:17" x14ac:dyDescent="0.25">
      <c r="A32" s="134"/>
      <c r="B32" s="136"/>
      <c r="C32" s="15">
        <v>8</v>
      </c>
      <c r="D32" s="17"/>
      <c r="E32" s="17"/>
      <c r="F32" s="18">
        <v>0</v>
      </c>
      <c r="G32" s="24" t="s">
        <v>26</v>
      </c>
      <c r="H32" s="16"/>
      <c r="I32" s="100" t="s">
        <v>27</v>
      </c>
      <c r="J32" s="100"/>
      <c r="K32" s="100"/>
      <c r="L32" s="100"/>
      <c r="M32" s="73">
        <f t="shared" si="0"/>
        <v>0</v>
      </c>
      <c r="N32" s="15"/>
      <c r="O32" s="15"/>
      <c r="P32" s="15"/>
      <c r="Q32" s="67" t="s">
        <v>26</v>
      </c>
    </row>
    <row r="33" spans="1:17" x14ac:dyDescent="0.25">
      <c r="A33" s="134"/>
      <c r="B33" s="136"/>
      <c r="C33" s="15">
        <v>9</v>
      </c>
      <c r="D33" s="17"/>
      <c r="E33" s="17"/>
      <c r="F33" s="18">
        <v>0</v>
      </c>
      <c r="G33" s="24" t="s">
        <v>26</v>
      </c>
      <c r="H33" s="16"/>
      <c r="I33" s="100" t="s">
        <v>27</v>
      </c>
      <c r="J33" s="100"/>
      <c r="K33" s="100"/>
      <c r="L33" s="100"/>
      <c r="M33" s="73">
        <f t="shared" si="0"/>
        <v>0</v>
      </c>
      <c r="N33" s="15"/>
      <c r="O33" s="15"/>
      <c r="P33" s="15"/>
      <c r="Q33" s="67" t="s">
        <v>26</v>
      </c>
    </row>
    <row r="34" spans="1:17" x14ac:dyDescent="0.25">
      <c r="A34" s="134"/>
      <c r="B34" s="136"/>
      <c r="C34" s="15">
        <v>10</v>
      </c>
      <c r="D34" s="17"/>
      <c r="E34" s="17"/>
      <c r="F34" s="18">
        <v>0</v>
      </c>
      <c r="G34" s="24" t="s">
        <v>26</v>
      </c>
      <c r="H34" s="16"/>
      <c r="I34" s="100" t="s">
        <v>27</v>
      </c>
      <c r="J34" s="100"/>
      <c r="K34" s="100"/>
      <c r="L34" s="100"/>
      <c r="M34" s="73">
        <f t="shared" si="0"/>
        <v>0</v>
      </c>
      <c r="N34" s="15"/>
      <c r="O34" s="15"/>
      <c r="P34" s="15"/>
      <c r="Q34" s="67" t="s">
        <v>26</v>
      </c>
    </row>
    <row r="35" spans="1:17" x14ac:dyDescent="0.25">
      <c r="A35" s="134"/>
      <c r="B35" s="136"/>
      <c r="C35" s="15">
        <v>11</v>
      </c>
      <c r="D35" s="17"/>
      <c r="E35" s="17"/>
      <c r="F35" s="18">
        <v>0</v>
      </c>
      <c r="G35" s="24" t="s">
        <v>26</v>
      </c>
      <c r="H35" s="16"/>
      <c r="I35" s="106" t="s">
        <v>27</v>
      </c>
      <c r="J35" s="106"/>
      <c r="K35" s="106"/>
      <c r="L35" s="106"/>
      <c r="M35" s="73">
        <f t="shared" si="0"/>
        <v>0</v>
      </c>
      <c r="N35" s="15"/>
      <c r="O35" s="15"/>
      <c r="P35" s="15"/>
      <c r="Q35" s="74" t="s">
        <v>26</v>
      </c>
    </row>
    <row r="36" spans="1:17" x14ac:dyDescent="0.25">
      <c r="A36" s="134"/>
      <c r="B36" s="136"/>
      <c r="C36" s="15">
        <v>12</v>
      </c>
      <c r="D36" s="17"/>
      <c r="E36" s="17"/>
      <c r="F36" s="18">
        <v>0</v>
      </c>
      <c r="G36" s="24" t="s">
        <v>26</v>
      </c>
      <c r="H36" s="16"/>
      <c r="I36" s="100" t="s">
        <v>27</v>
      </c>
      <c r="J36" s="100"/>
      <c r="K36" s="100"/>
      <c r="L36" s="100"/>
      <c r="M36" s="73">
        <f t="shared" si="0"/>
        <v>0</v>
      </c>
      <c r="N36" s="15"/>
      <c r="O36" s="15"/>
      <c r="P36" s="15"/>
      <c r="Q36" s="67" t="s">
        <v>26</v>
      </c>
    </row>
    <row r="37" spans="1:17" x14ac:dyDescent="0.25">
      <c r="A37" s="134"/>
      <c r="B37" s="136"/>
      <c r="C37" s="15">
        <v>13</v>
      </c>
      <c r="D37" s="17"/>
      <c r="E37" s="17"/>
      <c r="F37" s="18">
        <v>0</v>
      </c>
      <c r="G37" s="24" t="s">
        <v>26</v>
      </c>
      <c r="H37" s="16"/>
      <c r="I37" s="106" t="s">
        <v>27</v>
      </c>
      <c r="J37" s="106"/>
      <c r="K37" s="106"/>
      <c r="L37" s="106"/>
      <c r="M37" s="73">
        <f t="shared" si="0"/>
        <v>0</v>
      </c>
      <c r="N37" s="15"/>
      <c r="O37" s="15"/>
      <c r="P37" s="15"/>
      <c r="Q37" s="67" t="s">
        <v>26</v>
      </c>
    </row>
    <row r="38" spans="1:17" x14ac:dyDescent="0.25">
      <c r="A38" s="173" t="s">
        <v>28</v>
      </c>
      <c r="B38" s="174"/>
      <c r="C38" s="75"/>
      <c r="D38" s="76">
        <f>SUM(D25:D29)</f>
        <v>0</v>
      </c>
      <c r="E38" s="75" t="s">
        <v>21</v>
      </c>
      <c r="F38" s="77">
        <f>SUM(F25:F37)</f>
        <v>0</v>
      </c>
      <c r="G38" s="78"/>
      <c r="H38" s="79"/>
      <c r="I38" s="175"/>
      <c r="J38" s="175"/>
      <c r="K38" s="175"/>
      <c r="L38" s="175"/>
      <c r="M38" s="73" t="e">
        <f>F38/D38</f>
        <v>#DIV/0!</v>
      </c>
      <c r="N38" s="75"/>
      <c r="O38" s="75"/>
      <c r="P38" s="75"/>
      <c r="Q38" s="80" t="s">
        <v>26</v>
      </c>
    </row>
    <row r="39" spans="1:17" ht="15.75" thickBot="1" x14ac:dyDescent="0.3">
      <c r="A39" s="176" t="s">
        <v>29</v>
      </c>
      <c r="B39" s="177"/>
      <c r="C39" s="28"/>
      <c r="D39" s="29" t="e">
        <f>+D38*100/D13</f>
        <v>#DIV/0!</v>
      </c>
      <c r="E39" s="30" t="s">
        <v>22</v>
      </c>
      <c r="F39" s="28"/>
      <c r="G39" s="28"/>
      <c r="H39" s="30"/>
      <c r="I39" s="28"/>
      <c r="J39" s="28"/>
      <c r="K39" s="28"/>
      <c r="L39" s="28"/>
      <c r="M39" s="28"/>
      <c r="N39" s="28"/>
      <c r="O39" s="28"/>
      <c r="P39" s="28"/>
      <c r="Q39" s="31"/>
    </row>
    <row r="40" spans="1:17" ht="15.75" thickBot="1" x14ac:dyDescent="0.3">
      <c r="A40" s="12"/>
      <c r="B40" s="12"/>
      <c r="C40" s="12"/>
      <c r="D40" s="12"/>
      <c r="E40" s="12"/>
      <c r="F40" s="12"/>
      <c r="G40" s="12"/>
      <c r="H40" s="11"/>
      <c r="I40" s="12"/>
      <c r="J40" s="12"/>
      <c r="K40" s="12"/>
      <c r="L40" s="12"/>
      <c r="M40" s="12"/>
      <c r="N40" s="12"/>
      <c r="O40" s="12"/>
      <c r="P40" s="12"/>
      <c r="Q40" s="12"/>
    </row>
    <row r="41" spans="1:17" x14ac:dyDescent="0.25">
      <c r="A41" s="116" t="s">
        <v>30</v>
      </c>
      <c r="B41" s="179" t="s">
        <v>31</v>
      </c>
      <c r="C41" s="129" t="s">
        <v>32</v>
      </c>
      <c r="D41" s="131"/>
      <c r="E41" s="139"/>
      <c r="F41" s="181"/>
      <c r="G41" s="184"/>
      <c r="H41" s="185"/>
      <c r="I41" s="159" t="s">
        <v>33</v>
      </c>
      <c r="J41" s="139"/>
      <c r="K41" s="139"/>
      <c r="L41" s="139"/>
      <c r="M41" s="13"/>
      <c r="N41" s="13"/>
      <c r="O41" s="13"/>
      <c r="P41" s="13"/>
      <c r="Q41" s="8"/>
    </row>
    <row r="42" spans="1:17" ht="15.75" thickBot="1" x14ac:dyDescent="0.3">
      <c r="A42" s="178"/>
      <c r="B42" s="180"/>
      <c r="C42" s="130"/>
      <c r="D42" s="132"/>
      <c r="E42" s="182"/>
      <c r="F42" s="183"/>
      <c r="G42" s="186"/>
      <c r="H42" s="186"/>
      <c r="I42" s="187"/>
      <c r="J42" s="158"/>
      <c r="K42" s="158"/>
      <c r="L42" s="158"/>
      <c r="M42" s="19"/>
      <c r="N42" s="19"/>
      <c r="O42" s="19"/>
      <c r="P42" s="19"/>
      <c r="Q42" s="10"/>
    </row>
    <row r="43" spans="1:17" ht="15.75" thickBot="1" x14ac:dyDescent="0.3">
      <c r="A43" s="66"/>
      <c r="B43" s="82"/>
      <c r="C43" s="130"/>
      <c r="D43" s="132"/>
      <c r="E43" s="107"/>
      <c r="F43" s="108"/>
      <c r="G43" s="109"/>
      <c r="H43" s="110"/>
      <c r="I43" s="81"/>
      <c r="J43" s="81"/>
      <c r="K43" s="81"/>
      <c r="L43" s="81"/>
      <c r="M43" s="19"/>
      <c r="N43" s="19"/>
      <c r="O43" s="19"/>
      <c r="P43" s="19"/>
      <c r="Q43" s="10"/>
    </row>
    <row r="44" spans="1:17" ht="15.75" thickBot="1" x14ac:dyDescent="0.3">
      <c r="A44" s="66"/>
      <c r="B44" s="82"/>
      <c r="C44" s="130"/>
      <c r="D44" s="132"/>
      <c r="E44" s="107"/>
      <c r="F44" s="108"/>
      <c r="G44" s="109"/>
      <c r="H44" s="110"/>
      <c r="I44" s="81"/>
      <c r="J44" s="81"/>
      <c r="K44" s="81"/>
      <c r="L44" s="81"/>
      <c r="M44" s="19"/>
      <c r="N44" s="19"/>
      <c r="O44" s="19"/>
      <c r="P44" s="19"/>
      <c r="Q44" s="10"/>
    </row>
    <row r="45" spans="1:17" ht="15.75" thickBot="1" x14ac:dyDescent="0.3">
      <c r="A45" s="66"/>
      <c r="B45" s="82"/>
      <c r="C45" s="130"/>
      <c r="D45" s="132"/>
      <c r="E45" s="107"/>
      <c r="F45" s="108"/>
      <c r="G45" s="109"/>
      <c r="H45" s="110"/>
      <c r="I45" s="81"/>
      <c r="J45" s="81"/>
      <c r="K45" s="81"/>
      <c r="L45" s="81"/>
      <c r="M45" s="19"/>
      <c r="N45" s="19"/>
      <c r="O45" s="19"/>
      <c r="P45" s="19"/>
      <c r="Q45" s="10"/>
    </row>
    <row r="46" spans="1:17" ht="15.75" thickBot="1" x14ac:dyDescent="0.3">
      <c r="A46" s="66"/>
      <c r="B46" s="82"/>
      <c r="C46" s="188"/>
      <c r="D46" s="189"/>
      <c r="E46" s="107"/>
      <c r="F46" s="108"/>
      <c r="G46" s="109"/>
      <c r="H46" s="110"/>
      <c r="I46" s="81"/>
      <c r="J46" s="81"/>
      <c r="K46" s="81"/>
      <c r="L46" s="81"/>
      <c r="M46" s="19"/>
      <c r="N46" s="19"/>
      <c r="O46" s="19"/>
      <c r="P46" s="19"/>
      <c r="Q46" s="10"/>
    </row>
    <row r="47" spans="1:17" ht="15.75" thickBot="1" x14ac:dyDescent="0.3">
      <c r="A47" s="103" t="s">
        <v>34</v>
      </c>
      <c r="B47" s="103"/>
      <c r="C47" s="104"/>
      <c r="D47" s="104"/>
      <c r="E47" s="103"/>
      <c r="F47" s="103"/>
      <c r="G47" s="105">
        <f>SUM(G41:H46)</f>
        <v>0</v>
      </c>
      <c r="H47" s="103"/>
      <c r="I47" s="171" t="s">
        <v>33</v>
      </c>
      <c r="J47" s="171"/>
      <c r="K47" s="171"/>
      <c r="L47" s="171"/>
      <c r="M47" s="22"/>
      <c r="N47" s="22"/>
      <c r="O47" s="22"/>
      <c r="P47" s="22"/>
      <c r="Q47" s="23"/>
    </row>
    <row r="48" spans="1:17" ht="15.75" thickBot="1" x14ac:dyDescent="0.3">
      <c r="A48" s="11"/>
      <c r="B48" s="12"/>
      <c r="C48" s="12"/>
      <c r="D48" s="12"/>
      <c r="E48" s="12"/>
      <c r="F48" s="12"/>
      <c r="G48" s="12"/>
      <c r="H48" s="11"/>
      <c r="I48" s="12"/>
      <c r="J48" s="12"/>
      <c r="K48" s="12"/>
      <c r="L48" s="12"/>
      <c r="M48" s="12"/>
      <c r="N48" s="12"/>
      <c r="O48" s="12"/>
      <c r="P48" s="12"/>
      <c r="Q48" s="12"/>
    </row>
    <row r="49" spans="1:17" x14ac:dyDescent="0.25">
      <c r="A49" s="116" t="s">
        <v>35</v>
      </c>
      <c r="B49" s="116" t="s">
        <v>36</v>
      </c>
      <c r="C49" s="32"/>
      <c r="D49" s="172" t="e">
        <f>+G47/F38</f>
        <v>#DIV/0!</v>
      </c>
      <c r="E49" s="13"/>
      <c r="F49" s="13"/>
      <c r="G49" s="13"/>
      <c r="H49" s="14"/>
      <c r="I49" s="13"/>
      <c r="J49" s="13"/>
      <c r="K49" s="13"/>
      <c r="L49" s="13"/>
      <c r="M49" s="13"/>
      <c r="N49" s="13"/>
      <c r="O49" s="13"/>
      <c r="P49" s="13"/>
      <c r="Q49" s="8"/>
    </row>
    <row r="50" spans="1:17" ht="15.75" thickBot="1" x14ac:dyDescent="0.3">
      <c r="A50" s="125"/>
      <c r="B50" s="125"/>
      <c r="C50" s="33"/>
      <c r="D50" s="157"/>
      <c r="E50" s="19"/>
      <c r="F50" s="19"/>
      <c r="G50" s="19"/>
      <c r="H50" s="20"/>
      <c r="I50" s="19"/>
      <c r="J50" s="19"/>
      <c r="K50" s="19"/>
      <c r="L50" s="19"/>
      <c r="M50" s="19"/>
      <c r="N50" s="19"/>
      <c r="O50" s="19"/>
      <c r="P50" s="19"/>
      <c r="Q50" s="10"/>
    </row>
    <row r="51" spans="1:17" ht="15.75" thickBot="1" x14ac:dyDescent="0.3">
      <c r="A51" s="34"/>
      <c r="B51" s="34"/>
      <c r="C51" s="35"/>
      <c r="D51" s="36"/>
      <c r="E51" s="15"/>
      <c r="F51" s="15"/>
      <c r="G51" s="15"/>
      <c r="H51" s="16"/>
      <c r="I51" s="15"/>
      <c r="J51" s="15"/>
      <c r="K51" s="15"/>
      <c r="L51" s="15"/>
      <c r="M51" s="15"/>
      <c r="N51" s="15"/>
      <c r="O51" s="15"/>
      <c r="P51" s="15"/>
      <c r="Q51" s="15"/>
    </row>
    <row r="52" spans="1:17" x14ac:dyDescent="0.25">
      <c r="A52" s="116" t="s">
        <v>37</v>
      </c>
      <c r="B52" s="118" t="s">
        <v>38</v>
      </c>
      <c r="C52" s="32"/>
      <c r="D52" s="37"/>
      <c r="E52" s="38" t="s">
        <v>39</v>
      </c>
      <c r="F52" s="39">
        <f>D25</f>
        <v>0</v>
      </c>
      <c r="G52" s="39" t="s">
        <v>40</v>
      </c>
      <c r="H52" s="40"/>
      <c r="I52" s="39"/>
      <c r="J52" s="39"/>
      <c r="K52" s="39"/>
      <c r="L52" s="39"/>
      <c r="M52" s="37">
        <f>F52*D52</f>
        <v>0</v>
      </c>
      <c r="N52" s="37"/>
      <c r="O52" s="37"/>
      <c r="P52" s="37"/>
      <c r="Q52" s="41"/>
    </row>
    <row r="53" spans="1:17" x14ac:dyDescent="0.25">
      <c r="A53" s="117"/>
      <c r="B53" s="119"/>
      <c r="C53" s="42"/>
      <c r="D53" s="43"/>
      <c r="E53" s="34" t="s">
        <v>39</v>
      </c>
      <c r="F53" s="44">
        <f>D26</f>
        <v>0</v>
      </c>
      <c r="G53" s="44" t="s">
        <v>40</v>
      </c>
      <c r="H53" s="45"/>
      <c r="I53" s="44"/>
      <c r="J53" s="44"/>
      <c r="K53" s="44"/>
      <c r="L53" s="44"/>
      <c r="M53" s="43">
        <f t="shared" ref="M53:M56" si="1">F53*D53</f>
        <v>0</v>
      </c>
      <c r="N53" s="43"/>
      <c r="O53" s="43"/>
      <c r="P53" s="43"/>
      <c r="Q53" s="46"/>
    </row>
    <row r="54" spans="1:17" x14ac:dyDescent="0.25">
      <c r="A54" s="117"/>
      <c r="B54" s="119"/>
      <c r="C54" s="42"/>
      <c r="D54" s="43"/>
      <c r="E54" s="34" t="s">
        <v>39</v>
      </c>
      <c r="F54" s="44">
        <f t="shared" ref="F54:F55" si="2">D27</f>
        <v>0</v>
      </c>
      <c r="G54" s="44" t="s">
        <v>40</v>
      </c>
      <c r="H54" s="45"/>
      <c r="I54" s="44"/>
      <c r="J54" s="44"/>
      <c r="K54" s="44"/>
      <c r="L54" s="44"/>
      <c r="M54" s="43">
        <f t="shared" si="1"/>
        <v>0</v>
      </c>
      <c r="N54" s="43"/>
      <c r="O54" s="43"/>
      <c r="P54" s="43"/>
      <c r="Q54" s="46"/>
    </row>
    <row r="55" spans="1:17" x14ac:dyDescent="0.25">
      <c r="A55" s="117"/>
      <c r="B55" s="119"/>
      <c r="C55" s="42"/>
      <c r="D55" s="43"/>
      <c r="E55" s="34" t="s">
        <v>39</v>
      </c>
      <c r="F55" s="44">
        <f t="shared" si="2"/>
        <v>0</v>
      </c>
      <c r="G55" s="44" t="s">
        <v>40</v>
      </c>
      <c r="H55" s="45"/>
      <c r="I55" s="44"/>
      <c r="J55" s="44"/>
      <c r="K55" s="44"/>
      <c r="L55" s="44"/>
      <c r="M55" s="43">
        <f t="shared" si="1"/>
        <v>0</v>
      </c>
      <c r="N55" s="43"/>
      <c r="O55" s="43"/>
      <c r="P55" s="43"/>
      <c r="Q55" s="46"/>
    </row>
    <row r="56" spans="1:17" ht="15.75" thickBot="1" x14ac:dyDescent="0.3">
      <c r="A56" s="117"/>
      <c r="B56" s="119"/>
      <c r="C56" s="42"/>
      <c r="D56" s="43"/>
      <c r="E56" s="34" t="s">
        <v>39</v>
      </c>
      <c r="F56" s="44">
        <f>D29</f>
        <v>0</v>
      </c>
      <c r="G56" s="44" t="s">
        <v>40</v>
      </c>
      <c r="H56" s="45"/>
      <c r="I56" s="44"/>
      <c r="J56" s="44"/>
      <c r="K56" s="44"/>
      <c r="L56" s="44"/>
      <c r="M56" s="43">
        <f t="shared" si="1"/>
        <v>0</v>
      </c>
      <c r="N56" s="43"/>
      <c r="O56" s="43"/>
      <c r="P56" s="43"/>
      <c r="Q56" s="46"/>
    </row>
    <row r="57" spans="1:17" x14ac:dyDescent="0.25">
      <c r="A57" s="120" t="s">
        <v>28</v>
      </c>
      <c r="B57" s="121"/>
      <c r="C57" s="25"/>
      <c r="D57" s="47"/>
      <c r="E57" s="25"/>
      <c r="F57" s="47">
        <f>SUM(F52:F56)</f>
        <v>0</v>
      </c>
      <c r="G57" s="47" t="s">
        <v>40</v>
      </c>
      <c r="H57" s="26"/>
      <c r="I57" s="25"/>
      <c r="J57" s="25"/>
      <c r="K57" s="25"/>
      <c r="L57" s="25"/>
      <c r="M57" s="47">
        <f>SUM(M52:M56)</f>
        <v>0</v>
      </c>
      <c r="N57" s="25"/>
      <c r="O57" s="25"/>
      <c r="P57" s="25"/>
      <c r="Q57" s="27"/>
    </row>
    <row r="58" spans="1:17" ht="15.75" thickBot="1" x14ac:dyDescent="0.3">
      <c r="A58" s="122" t="s">
        <v>41</v>
      </c>
      <c r="B58" s="123"/>
      <c r="C58" s="124" t="e">
        <f>M57/F57</f>
        <v>#DIV/0!</v>
      </c>
      <c r="D58" s="124"/>
      <c r="E58" s="124"/>
      <c r="F58" s="28"/>
      <c r="G58" s="28"/>
      <c r="H58" s="30"/>
      <c r="I58" s="28"/>
      <c r="J58" s="28"/>
      <c r="K58" s="28"/>
      <c r="L58" s="28"/>
      <c r="M58" s="28"/>
      <c r="N58" s="28"/>
      <c r="O58" s="28"/>
      <c r="P58" s="28"/>
      <c r="Q58" s="31"/>
    </row>
    <row r="59" spans="1:17" ht="15.75" thickBot="1" x14ac:dyDescent="0.3">
      <c r="A59" s="11"/>
      <c r="B59" s="12"/>
      <c r="C59" s="12"/>
      <c r="D59" s="12"/>
      <c r="E59" s="12"/>
      <c r="F59" s="12"/>
      <c r="G59" s="12"/>
      <c r="H59" s="11"/>
      <c r="I59" s="12"/>
      <c r="J59" s="12"/>
      <c r="K59" s="12"/>
      <c r="L59" s="12"/>
      <c r="M59" s="12"/>
      <c r="N59" s="12"/>
      <c r="O59" s="12"/>
      <c r="P59" s="12"/>
      <c r="Q59" s="12"/>
    </row>
    <row r="60" spans="1:17" x14ac:dyDescent="0.25">
      <c r="A60" s="116" t="s">
        <v>42</v>
      </c>
      <c r="B60" s="116" t="s">
        <v>43</v>
      </c>
      <c r="C60" s="159" t="s">
        <v>41</v>
      </c>
      <c r="D60" s="160"/>
      <c r="E60" s="161"/>
      <c r="F60" s="13"/>
      <c r="G60" s="13"/>
      <c r="H60" s="14"/>
      <c r="I60" s="13"/>
      <c r="J60" s="13"/>
      <c r="K60" s="13"/>
      <c r="L60" s="13"/>
      <c r="M60" s="13"/>
      <c r="N60" s="13"/>
      <c r="O60" s="13"/>
      <c r="P60" s="13"/>
      <c r="Q60" s="7"/>
    </row>
    <row r="61" spans="1:17" ht="15.75" thickBot="1" x14ac:dyDescent="0.3">
      <c r="A61" s="117"/>
      <c r="B61" s="117"/>
      <c r="C61" s="162"/>
      <c r="D61" s="163"/>
      <c r="E61" s="164"/>
      <c r="F61" s="20">
        <v>100</v>
      </c>
      <c r="G61" s="20" t="s">
        <v>44</v>
      </c>
      <c r="H61" s="20" t="s">
        <v>45</v>
      </c>
      <c r="I61" s="156" t="s">
        <v>39</v>
      </c>
      <c r="J61" s="158" t="s">
        <v>46</v>
      </c>
      <c r="K61" s="158"/>
      <c r="L61" s="152" t="s">
        <v>39</v>
      </c>
      <c r="M61" s="158">
        <v>100</v>
      </c>
      <c r="N61" s="170" t="s">
        <v>47</v>
      </c>
      <c r="O61" s="16" t="e">
        <f>+F61*H61*J61*M61</f>
        <v>#VALUE!</v>
      </c>
      <c r="P61" s="170"/>
      <c r="Q61" s="117" t="s">
        <v>48</v>
      </c>
    </row>
    <row r="62" spans="1:17" x14ac:dyDescent="0.25">
      <c r="A62" s="117"/>
      <c r="B62" s="117"/>
      <c r="C62" s="162"/>
      <c r="D62" s="163"/>
      <c r="E62" s="164"/>
      <c r="F62" s="114" t="s">
        <v>49</v>
      </c>
      <c r="G62" s="115"/>
      <c r="H62" s="115"/>
      <c r="I62" s="156"/>
      <c r="J62" s="139" t="s">
        <v>50</v>
      </c>
      <c r="K62" s="139"/>
      <c r="L62" s="152"/>
      <c r="M62" s="152"/>
      <c r="N62" s="152"/>
      <c r="O62" s="16" t="e">
        <f>+F62*H62*M62</f>
        <v>#VALUE!</v>
      </c>
      <c r="P62" s="152"/>
      <c r="Q62" s="117"/>
    </row>
    <row r="63" spans="1:17" x14ac:dyDescent="0.25">
      <c r="A63" s="117"/>
      <c r="B63" s="117"/>
      <c r="C63" s="165"/>
      <c r="D63" s="166"/>
      <c r="E63" s="167"/>
      <c r="F63" s="48"/>
      <c r="G63" s="48"/>
      <c r="H63" s="48"/>
      <c r="I63" s="49"/>
      <c r="J63" s="49"/>
      <c r="K63" s="49"/>
      <c r="L63" s="49"/>
      <c r="M63" s="48"/>
      <c r="N63" s="49"/>
      <c r="O63" s="48"/>
      <c r="P63" s="49"/>
      <c r="Q63" s="50"/>
    </row>
    <row r="64" spans="1:17" x14ac:dyDescent="0.25">
      <c r="A64" s="117"/>
      <c r="B64" s="117"/>
      <c r="C64" s="148" t="e">
        <f>C58</f>
        <v>#DIV/0!</v>
      </c>
      <c r="D64" s="149"/>
      <c r="E64" s="150"/>
      <c r="F64" s="51"/>
      <c r="G64" s="51"/>
      <c r="H64" s="52"/>
      <c r="I64" s="51"/>
      <c r="J64" s="51"/>
      <c r="K64" s="51"/>
      <c r="L64" s="51"/>
      <c r="M64" s="51"/>
      <c r="N64" s="51"/>
      <c r="O64" s="51"/>
      <c r="P64" s="51"/>
      <c r="Q64" s="53"/>
    </row>
    <row r="65" spans="1:17" ht="15.75" thickBot="1" x14ac:dyDescent="0.3">
      <c r="A65" s="117"/>
      <c r="B65" s="117"/>
      <c r="C65" s="151"/>
      <c r="D65" s="152"/>
      <c r="E65" s="119"/>
      <c r="F65" s="20">
        <v>100</v>
      </c>
      <c r="G65" s="20" t="s">
        <v>44</v>
      </c>
      <c r="H65" s="54">
        <f>M23</f>
        <v>0</v>
      </c>
      <c r="I65" s="156" t="s">
        <v>39</v>
      </c>
      <c r="J65" s="157" t="e">
        <f>M38</f>
        <v>#DIV/0!</v>
      </c>
      <c r="K65" s="158"/>
      <c r="L65" s="152" t="s">
        <v>39</v>
      </c>
      <c r="M65" s="158">
        <v>100</v>
      </c>
      <c r="N65" s="15"/>
      <c r="O65" s="21" t="e">
        <f>(F65-H65)*J65*M65</f>
        <v>#DIV/0!</v>
      </c>
      <c r="P65" s="168"/>
      <c r="Q65" s="169" t="e">
        <f>+O65/O66</f>
        <v>#DIV/0!</v>
      </c>
    </row>
    <row r="66" spans="1:17" x14ac:dyDescent="0.25">
      <c r="A66" s="117"/>
      <c r="B66" s="117"/>
      <c r="C66" s="151"/>
      <c r="D66" s="152"/>
      <c r="E66" s="119"/>
      <c r="F66" s="137" t="e">
        <f>D49</f>
        <v>#DIV/0!</v>
      </c>
      <c r="G66" s="115"/>
      <c r="H66" s="115"/>
      <c r="I66" s="156"/>
      <c r="J66" s="138" t="e">
        <f>C64</f>
        <v>#DIV/0!</v>
      </c>
      <c r="K66" s="139"/>
      <c r="L66" s="152"/>
      <c r="M66" s="152"/>
      <c r="N66" s="15"/>
      <c r="O66" s="55" t="e">
        <f>F66*J66</f>
        <v>#DIV/0!</v>
      </c>
      <c r="P66" s="168"/>
      <c r="Q66" s="169"/>
    </row>
    <row r="67" spans="1:17" ht="15.75" thickBot="1" x14ac:dyDescent="0.3">
      <c r="A67" s="125"/>
      <c r="B67" s="125"/>
      <c r="C67" s="153"/>
      <c r="D67" s="154"/>
      <c r="E67" s="155"/>
      <c r="F67" s="56"/>
      <c r="G67" s="56"/>
      <c r="H67" s="48"/>
      <c r="I67" s="56"/>
      <c r="J67" s="56"/>
      <c r="K67" s="56"/>
      <c r="L67" s="56"/>
      <c r="M67" s="56"/>
      <c r="N67" s="56"/>
      <c r="O67" s="56"/>
      <c r="P67" s="56"/>
      <c r="Q67" s="57"/>
    </row>
    <row r="68" spans="1:17" ht="15.75" thickBot="1" x14ac:dyDescent="0.3">
      <c r="A68" s="140" t="s">
        <v>51</v>
      </c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2"/>
      <c r="Q68" s="58" t="e">
        <f>SUM(Q63:Q67)</f>
        <v>#DIV/0!</v>
      </c>
    </row>
    <row r="69" spans="1:17" ht="15.75" thickBot="1" x14ac:dyDescent="0.3">
      <c r="A69" s="140" t="s">
        <v>52</v>
      </c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2"/>
      <c r="Q69" s="59" t="e">
        <f>Q68</f>
        <v>#DIV/0!</v>
      </c>
    </row>
    <row r="70" spans="1:17" ht="15.75" thickBot="1" x14ac:dyDescent="0.3">
      <c r="H70" s="1"/>
    </row>
    <row r="71" spans="1:17" ht="15.75" thickTop="1" x14ac:dyDescent="0.25">
      <c r="A71" s="60" t="s">
        <v>53</v>
      </c>
      <c r="B71" s="61"/>
      <c r="C71" s="62" t="s">
        <v>12</v>
      </c>
      <c r="D71" s="143">
        <v>43206</v>
      </c>
      <c r="E71" s="144"/>
      <c r="H71" s="1"/>
      <c r="L71" s="145" t="s">
        <v>54</v>
      </c>
      <c r="M71" s="146"/>
      <c r="N71" s="146"/>
      <c r="O71" s="146"/>
      <c r="P71" s="146"/>
      <c r="Q71" s="147"/>
    </row>
    <row r="72" spans="1:17" x14ac:dyDescent="0.25">
      <c r="A72" s="63"/>
      <c r="B72" s="64"/>
      <c r="C72" s="64"/>
      <c r="D72" s="64"/>
      <c r="E72" s="65"/>
      <c r="H72" s="1"/>
      <c r="L72" s="63"/>
      <c r="M72" s="64"/>
      <c r="N72" s="64"/>
      <c r="O72" s="64"/>
      <c r="P72" s="64"/>
      <c r="Q72" s="65"/>
    </row>
    <row r="73" spans="1:17" x14ac:dyDescent="0.25">
      <c r="A73" s="63"/>
      <c r="B73" s="64"/>
      <c r="C73" s="64"/>
      <c r="D73" s="64"/>
      <c r="E73" s="65"/>
      <c r="H73" s="1"/>
      <c r="L73" s="63"/>
      <c r="M73" s="64"/>
      <c r="N73" s="64"/>
      <c r="O73" s="64"/>
      <c r="P73" s="64"/>
      <c r="Q73" s="65"/>
    </row>
    <row r="74" spans="1:17" x14ac:dyDescent="0.25">
      <c r="A74" s="63"/>
      <c r="B74" s="64"/>
      <c r="C74" s="64"/>
      <c r="D74" s="64"/>
      <c r="E74" s="65"/>
      <c r="H74" s="1"/>
      <c r="K74" s="64"/>
      <c r="L74" s="63"/>
      <c r="M74" s="64"/>
      <c r="N74" s="64"/>
      <c r="O74" s="64"/>
      <c r="P74" s="64"/>
      <c r="Q74" s="65"/>
    </row>
    <row r="75" spans="1:17" x14ac:dyDescent="0.25">
      <c r="A75" s="63"/>
      <c r="B75" s="64"/>
      <c r="C75" s="64"/>
      <c r="D75" s="64"/>
      <c r="E75" s="65"/>
      <c r="H75" s="1"/>
      <c r="L75" s="63"/>
      <c r="M75" s="64"/>
      <c r="N75" s="64"/>
      <c r="O75" s="64"/>
      <c r="P75" s="64"/>
      <c r="Q75" s="65"/>
    </row>
    <row r="76" spans="1:17" x14ac:dyDescent="0.25">
      <c r="A76" s="63"/>
      <c r="B76" s="64"/>
      <c r="C76" s="64"/>
      <c r="D76" s="64"/>
      <c r="E76" s="65"/>
      <c r="H76" s="1"/>
      <c r="L76" s="63"/>
      <c r="M76" s="64"/>
      <c r="N76" s="64"/>
      <c r="O76" s="64"/>
      <c r="P76" s="64"/>
      <c r="Q76" s="65"/>
    </row>
    <row r="77" spans="1:17" ht="15.75" thickBot="1" x14ac:dyDescent="0.3">
      <c r="A77" s="111" t="s">
        <v>55</v>
      </c>
      <c r="B77" s="112"/>
      <c r="C77" s="112"/>
      <c r="D77" s="112"/>
      <c r="E77" s="113"/>
      <c r="L77" s="111" t="s">
        <v>56</v>
      </c>
      <c r="M77" s="112"/>
      <c r="N77" s="112"/>
      <c r="O77" s="112"/>
      <c r="P77" s="112"/>
      <c r="Q77" s="113"/>
    </row>
    <row r="78" spans="1:17" ht="15.75" thickTop="1" x14ac:dyDescent="0.25"/>
  </sheetData>
  <mergeCells count="93">
    <mergeCell ref="P8:P13"/>
    <mergeCell ref="Q8:Q13"/>
    <mergeCell ref="A13:B13"/>
    <mergeCell ref="A23:B23"/>
    <mergeCell ref="A1:Q1"/>
    <mergeCell ref="A2:Q2"/>
    <mergeCell ref="A3:Q3"/>
    <mergeCell ref="F8:F13"/>
    <mergeCell ref="G8:G13"/>
    <mergeCell ref="H8:H13"/>
    <mergeCell ref="I8:L13"/>
    <mergeCell ref="M8:M13"/>
    <mergeCell ref="C15:D15"/>
    <mergeCell ref="C16:D16"/>
    <mergeCell ref="C17:D17"/>
    <mergeCell ref="C18:D18"/>
    <mergeCell ref="I25:L25"/>
    <mergeCell ref="I26:L26"/>
    <mergeCell ref="I27:L27"/>
    <mergeCell ref="I28:L28"/>
    <mergeCell ref="I29:L29"/>
    <mergeCell ref="A49:A50"/>
    <mergeCell ref="B49:B50"/>
    <mergeCell ref="D49:D50"/>
    <mergeCell ref="A38:B38"/>
    <mergeCell ref="I38:L38"/>
    <mergeCell ref="A39:B39"/>
    <mergeCell ref="A41:A42"/>
    <mergeCell ref="B41:B42"/>
    <mergeCell ref="E41:F42"/>
    <mergeCell ref="G41:H42"/>
    <mergeCell ref="I41:L42"/>
    <mergeCell ref="C41:D46"/>
    <mergeCell ref="E43:F43"/>
    <mergeCell ref="E44:F44"/>
    <mergeCell ref="E45:F45"/>
    <mergeCell ref="P65:P66"/>
    <mergeCell ref="Q65:Q66"/>
    <mergeCell ref="I61:I62"/>
    <mergeCell ref="J61:K61"/>
    <mergeCell ref="L61:L62"/>
    <mergeCell ref="M61:M62"/>
    <mergeCell ref="N61:N62"/>
    <mergeCell ref="P61:P62"/>
    <mergeCell ref="J62:K62"/>
    <mergeCell ref="I65:I66"/>
    <mergeCell ref="J65:K65"/>
    <mergeCell ref="L65:L66"/>
    <mergeCell ref="C60:E63"/>
    <mergeCell ref="M65:M66"/>
    <mergeCell ref="L77:Q77"/>
    <mergeCell ref="A8:A12"/>
    <mergeCell ref="A15:A22"/>
    <mergeCell ref="B15:B22"/>
    <mergeCell ref="A25:A37"/>
    <mergeCell ref="B25:B37"/>
    <mergeCell ref="I30:L30"/>
    <mergeCell ref="I31:L31"/>
    <mergeCell ref="I32:L32"/>
    <mergeCell ref="F66:H66"/>
    <mergeCell ref="J66:K66"/>
    <mergeCell ref="A68:P68"/>
    <mergeCell ref="A69:P69"/>
    <mergeCell ref="D71:E71"/>
    <mergeCell ref="L71:Q71"/>
    <mergeCell ref="Q61:Q62"/>
    <mergeCell ref="A77:E77"/>
    <mergeCell ref="F62:H62"/>
    <mergeCell ref="A52:A56"/>
    <mergeCell ref="B52:B56"/>
    <mergeCell ref="A57:B57"/>
    <mergeCell ref="A58:B58"/>
    <mergeCell ref="C58:E58"/>
    <mergeCell ref="A60:A67"/>
    <mergeCell ref="B60:B67"/>
    <mergeCell ref="C64:E67"/>
    <mergeCell ref="G47:H47"/>
    <mergeCell ref="I33:L33"/>
    <mergeCell ref="I34:L34"/>
    <mergeCell ref="I35:L35"/>
    <mergeCell ref="I36:L36"/>
    <mergeCell ref="I37:L37"/>
    <mergeCell ref="G43:H43"/>
    <mergeCell ref="G44:H44"/>
    <mergeCell ref="G45:H45"/>
    <mergeCell ref="G46:H46"/>
    <mergeCell ref="I47:L47"/>
    <mergeCell ref="C19:D19"/>
    <mergeCell ref="C20:D20"/>
    <mergeCell ref="C21:D21"/>
    <mergeCell ref="C22:D22"/>
    <mergeCell ref="A47:F47"/>
    <mergeCell ref="E46:F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</dc:creator>
  <cp:lastModifiedBy>toni</cp:lastModifiedBy>
  <dcterms:created xsi:type="dcterms:W3CDTF">2018-05-08T00:50:56Z</dcterms:created>
  <dcterms:modified xsi:type="dcterms:W3CDTF">2018-05-08T02:14:16Z</dcterms:modified>
</cp:coreProperties>
</file>