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FD2146A-7850-416E-A2B1-ECF4072849B4}" xr6:coauthVersionLast="33" xr6:coauthVersionMax="33" xr10:uidLastSave="{00000000-0000-0000-0000-000000000000}"/>
  <bookViews>
    <workbookView xWindow="0" yWindow="0" windowWidth="20490" windowHeight="7545" xr2:uid="{E681762F-530D-4D5C-A121-14556EEE8EDC}"/>
  </bookViews>
  <sheets>
    <sheet name="LAPORAN (GLOBAL)" sheetId="2" r:id="rId1"/>
    <sheet name="Sheet1" sheetId="1" r:id="rId2"/>
  </sheets>
  <definedNames>
    <definedName name="_xlnm.Print_Area" localSheetId="0">'LAPORAN (GLOBAL)'!$A$13:$O$15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2" l="1"/>
  <c r="L60" i="2" s="1"/>
  <c r="P60" i="2"/>
  <c r="U60" i="2"/>
  <c r="X60" i="2"/>
  <c r="V55" i="2"/>
  <c r="V48" i="2"/>
  <c r="V41" i="2"/>
  <c r="V34" i="2"/>
  <c r="V27" i="2"/>
  <c r="V20" i="2"/>
  <c r="P19" i="2"/>
  <c r="O62" i="2"/>
  <c r="O55" i="2"/>
  <c r="O48" i="2"/>
  <c r="O41" i="2"/>
  <c r="O34" i="2"/>
  <c r="O27" i="2"/>
  <c r="O20" i="2"/>
  <c r="C54" i="2"/>
  <c r="C55" i="2"/>
  <c r="C47" i="2"/>
  <c r="C48" i="2" s="1"/>
  <c r="C40" i="2"/>
  <c r="C41" i="2"/>
  <c r="C33" i="2"/>
  <c r="C34" i="2"/>
  <c r="C26" i="2"/>
  <c r="C27" i="2"/>
  <c r="C19" i="2"/>
  <c r="C20" i="2" s="1"/>
  <c r="J62" i="2"/>
  <c r="J55" i="2"/>
  <c r="J48" i="2"/>
  <c r="J41" i="2"/>
  <c r="J34" i="2"/>
  <c r="J27" i="2"/>
  <c r="J20" i="2"/>
  <c r="K13" i="2" l="1"/>
  <c r="K14" i="2" s="1"/>
  <c r="L14" i="2" l="1"/>
  <c r="K15" i="2"/>
  <c r="K16" i="2" l="1"/>
  <c r="L15" i="2"/>
  <c r="L16" i="2" l="1"/>
  <c r="K17" i="2"/>
  <c r="L17" i="2" l="1"/>
  <c r="K18" i="2"/>
  <c r="K19" i="2" l="1"/>
  <c r="K20" i="2" s="1"/>
  <c r="L20" i="2" s="1"/>
  <c r="L18" i="2"/>
  <c r="L19" i="2" l="1"/>
  <c r="K21" i="2" l="1"/>
  <c r="K22" i="2" l="1"/>
  <c r="L21" i="2"/>
  <c r="L22" i="2" l="1"/>
  <c r="K23" i="2"/>
  <c r="K24" i="2" l="1"/>
  <c r="L23" i="2"/>
  <c r="L24" i="2" l="1"/>
  <c r="K25" i="2"/>
  <c r="K26" i="2" l="1"/>
  <c r="L25" i="2"/>
  <c r="K27" i="2" l="1"/>
  <c r="L26" i="2"/>
  <c r="L27" i="2" l="1"/>
  <c r="K28" i="2"/>
  <c r="K29" i="2" l="1"/>
  <c r="L28" i="2"/>
  <c r="K30" i="2" l="1"/>
  <c r="L29" i="2"/>
  <c r="K31" i="2" l="1"/>
  <c r="L30" i="2"/>
  <c r="K32" i="2" l="1"/>
  <c r="L31" i="2"/>
  <c r="K33" i="2" l="1"/>
  <c r="L32" i="2"/>
  <c r="K34" i="2" l="1"/>
  <c r="L33" i="2"/>
  <c r="K35" i="2" l="1"/>
  <c r="L34" i="2"/>
  <c r="K36" i="2" l="1"/>
  <c r="L35" i="2"/>
  <c r="K37" i="2" l="1"/>
  <c r="L36" i="2"/>
  <c r="K38" i="2" l="1"/>
  <c r="L37" i="2"/>
  <c r="K39" i="2" l="1"/>
  <c r="L38" i="2"/>
  <c r="K40" i="2" l="1"/>
  <c r="L39" i="2"/>
  <c r="K41" i="2" l="1"/>
  <c r="L40" i="2"/>
  <c r="K42" i="2" l="1"/>
  <c r="L41" i="2"/>
  <c r="K43" i="2" l="1"/>
  <c r="L42" i="2"/>
  <c r="K44" i="2" l="1"/>
  <c r="L43" i="2"/>
  <c r="K45" i="2" l="1"/>
  <c r="L44" i="2"/>
  <c r="K46" i="2" l="1"/>
  <c r="L45" i="2"/>
  <c r="K47" i="2" l="1"/>
  <c r="L46" i="2"/>
  <c r="K48" i="2" l="1"/>
  <c r="L47" i="2"/>
  <c r="K49" i="2" l="1"/>
  <c r="L48" i="2"/>
  <c r="K50" i="2" l="1"/>
  <c r="L49" i="2"/>
  <c r="K51" i="2" l="1"/>
  <c r="L50" i="2"/>
  <c r="K52" i="2" l="1"/>
  <c r="L51" i="2"/>
  <c r="K53" i="2" l="1"/>
  <c r="L52" i="2"/>
  <c r="K54" i="2" l="1"/>
  <c r="L53" i="2"/>
  <c r="K55" i="2" l="1"/>
  <c r="L54" i="2"/>
  <c r="K56" i="2" l="1"/>
  <c r="L55" i="2"/>
  <c r="W63" i="2"/>
  <c r="N63" i="2"/>
  <c r="S4" i="2" s="1"/>
  <c r="I63" i="2"/>
  <c r="H63" i="2"/>
  <c r="G63" i="2"/>
  <c r="V6" i="2" s="1"/>
  <c r="F63" i="2"/>
  <c r="V5" i="2" s="1"/>
  <c r="E63" i="2"/>
  <c r="D63" i="2"/>
  <c r="P13" i="2"/>
  <c r="P14" i="2" s="1"/>
  <c r="P15" i="2" s="1"/>
  <c r="P16" i="2" s="1"/>
  <c r="P17" i="2" s="1"/>
  <c r="P18" i="2" s="1"/>
  <c r="P20" i="2" s="1"/>
  <c r="L13" i="2"/>
  <c r="C13" i="2"/>
  <c r="C6" i="2"/>
  <c r="S3" i="2"/>
  <c r="J63" i="2" l="1"/>
  <c r="S5" i="2" s="1"/>
  <c r="S6" i="2" s="1"/>
  <c r="X13" i="2"/>
  <c r="U13" i="2"/>
  <c r="K57" i="2"/>
  <c r="L56" i="2"/>
  <c r="P21" i="2"/>
  <c r="P22" i="2" s="1"/>
  <c r="P23" i="2" s="1"/>
  <c r="P24" i="2" s="1"/>
  <c r="P25" i="2" s="1"/>
  <c r="P26" i="2" s="1"/>
  <c r="C14" i="2"/>
  <c r="U14" i="2" s="1"/>
  <c r="V7" i="2" l="1"/>
  <c r="K58" i="2"/>
  <c r="L57" i="2"/>
  <c r="C15" i="2"/>
  <c r="U15" i="2" s="1"/>
  <c r="X14" i="2"/>
  <c r="P27" i="2"/>
  <c r="P28" i="2" s="1"/>
  <c r="P29" i="2" s="1"/>
  <c r="P30" i="2" s="1"/>
  <c r="P31" i="2" s="1"/>
  <c r="P32" i="2" s="1"/>
  <c r="P33" i="2" s="1"/>
  <c r="K59" i="2" l="1"/>
  <c r="L58" i="2"/>
  <c r="P34" i="2"/>
  <c r="P35" i="2" s="1"/>
  <c r="P36" i="2" s="1"/>
  <c r="P37" i="2" s="1"/>
  <c r="P38" i="2" s="1"/>
  <c r="P39" i="2" s="1"/>
  <c r="P40" i="2" s="1"/>
  <c r="X15" i="2"/>
  <c r="C16" i="2"/>
  <c r="U16" i="2" s="1"/>
  <c r="K61" i="2" l="1"/>
  <c r="L61" i="2" s="1"/>
  <c r="L59" i="2"/>
  <c r="C17" i="2"/>
  <c r="U17" i="2" s="1"/>
  <c r="X16" i="2"/>
  <c r="P41" i="2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1" i="2" s="1"/>
  <c r="P62" i="2" l="1"/>
  <c r="K62" i="2"/>
  <c r="X17" i="2"/>
  <c r="C18" i="2"/>
  <c r="U18" i="2" s="1"/>
  <c r="L62" i="2" l="1"/>
  <c r="K63" i="2"/>
  <c r="X18" i="2"/>
  <c r="U20" i="2" l="1"/>
  <c r="X20" i="2"/>
  <c r="U19" i="2"/>
  <c r="X19" i="2"/>
  <c r="C21" i="2" l="1"/>
  <c r="U21" i="2" s="1"/>
  <c r="C22" i="2" l="1"/>
  <c r="U22" i="2" s="1"/>
  <c r="X21" i="2"/>
  <c r="X22" i="2" l="1"/>
  <c r="C23" i="2"/>
  <c r="U23" i="2" s="1"/>
  <c r="C24" i="2" l="1"/>
  <c r="U24" i="2" s="1"/>
  <c r="X23" i="2"/>
  <c r="C25" i="2" l="1"/>
  <c r="U25" i="2" s="1"/>
  <c r="X24" i="2"/>
  <c r="U26" i="2" l="1"/>
  <c r="X25" i="2"/>
  <c r="X26" i="2" l="1"/>
  <c r="U27" i="2"/>
  <c r="C28" i="2" l="1"/>
  <c r="U28" i="2" s="1"/>
  <c r="X27" i="2"/>
  <c r="X28" i="2" l="1"/>
  <c r="C29" i="2"/>
  <c r="U29" i="2" s="1"/>
  <c r="C30" i="2" l="1"/>
  <c r="U30" i="2" s="1"/>
  <c r="X29" i="2"/>
  <c r="X30" i="2" l="1"/>
  <c r="C31" i="2"/>
  <c r="U31" i="2" s="1"/>
  <c r="C32" i="2" l="1"/>
  <c r="U32" i="2" s="1"/>
  <c r="X31" i="2"/>
  <c r="X32" i="2" l="1"/>
  <c r="U33" i="2"/>
  <c r="X33" i="2" l="1"/>
  <c r="U34" i="2"/>
  <c r="C35" i="2" l="1"/>
  <c r="U35" i="2" s="1"/>
  <c r="X34" i="2"/>
  <c r="C36" i="2" l="1"/>
  <c r="U36" i="2" s="1"/>
  <c r="X35" i="2"/>
  <c r="C37" i="2" l="1"/>
  <c r="U37" i="2" s="1"/>
  <c r="X36" i="2"/>
  <c r="X37" i="2" l="1"/>
  <c r="C38" i="2"/>
  <c r="U38" i="2" s="1"/>
  <c r="C39" i="2" l="1"/>
  <c r="U39" i="2" s="1"/>
  <c r="X38" i="2"/>
  <c r="U40" i="2" l="1"/>
  <c r="X39" i="2"/>
  <c r="U41" i="2" l="1"/>
  <c r="X40" i="2"/>
  <c r="X41" i="2" l="1"/>
  <c r="C42" i="2"/>
  <c r="U42" i="2" s="1"/>
  <c r="C43" i="2" l="1"/>
  <c r="U43" i="2" s="1"/>
  <c r="X42" i="2"/>
  <c r="X43" i="2" l="1"/>
  <c r="C44" i="2"/>
  <c r="U44" i="2" s="1"/>
  <c r="C45" i="2" l="1"/>
  <c r="U45" i="2" s="1"/>
  <c r="X44" i="2"/>
  <c r="X45" i="2" l="1"/>
  <c r="C46" i="2"/>
  <c r="U46" i="2" s="1"/>
  <c r="U47" i="2" l="1"/>
  <c r="X46" i="2"/>
  <c r="U48" i="2" l="1"/>
  <c r="X47" i="2"/>
  <c r="X48" i="2" l="1"/>
  <c r="C49" i="2"/>
  <c r="U49" i="2" s="1"/>
  <c r="C50" i="2" l="1"/>
  <c r="U50" i="2" s="1"/>
  <c r="X49" i="2"/>
  <c r="X50" i="2" l="1"/>
  <c r="C51" i="2"/>
  <c r="U51" i="2" s="1"/>
  <c r="C52" i="2" l="1"/>
  <c r="U52" i="2" s="1"/>
  <c r="X51" i="2"/>
  <c r="X52" i="2" l="1"/>
  <c r="C53" i="2"/>
  <c r="U53" i="2" s="1"/>
  <c r="U54" i="2" l="1"/>
  <c r="X53" i="2"/>
  <c r="U55" i="2" l="1"/>
  <c r="X54" i="2"/>
  <c r="X55" i="2" l="1"/>
  <c r="C56" i="2"/>
  <c r="U56" i="2" s="1"/>
  <c r="C57" i="2" l="1"/>
  <c r="U57" i="2" s="1"/>
  <c r="X56" i="2"/>
  <c r="X57" i="2" l="1"/>
  <c r="C58" i="2"/>
  <c r="U58" i="2" s="1"/>
  <c r="C59" i="2" l="1"/>
  <c r="C61" i="2" s="1"/>
  <c r="X58" i="2"/>
  <c r="U61" i="2" l="1"/>
  <c r="X61" i="2"/>
  <c r="U59" i="2"/>
  <c r="X59" i="2"/>
  <c r="C62" i="2" l="1"/>
  <c r="X62" i="2" l="1"/>
  <c r="U62" i="2"/>
</calcChain>
</file>

<file path=xl/sharedStrings.xml><?xml version="1.0" encoding="utf-8"?>
<sst xmlns="http://schemas.openxmlformats.org/spreadsheetml/2006/main" count="53" uniqueCount="42">
  <si>
    <t>Rata -Rata Bw</t>
  </si>
  <si>
    <t>Kg</t>
  </si>
  <si>
    <t>Nama Farm :</t>
  </si>
  <si>
    <t>Strain:</t>
  </si>
  <si>
    <t>Feed Conversi</t>
  </si>
  <si>
    <t>Populasi :</t>
  </si>
  <si>
    <t>Ekor</t>
  </si>
  <si>
    <t>umur:</t>
  </si>
  <si>
    <t>Mortality</t>
  </si>
  <si>
    <t>Jatah             :</t>
  </si>
  <si>
    <t>Tgl DOC masuk :</t>
  </si>
  <si>
    <t>%</t>
  </si>
  <si>
    <t>Lebih Ayam  :</t>
  </si>
  <si>
    <t>Alamat :</t>
  </si>
  <si>
    <t>Sisa               :</t>
  </si>
  <si>
    <t xml:space="preserve"> </t>
  </si>
  <si>
    <t>Tgl</t>
  </si>
  <si>
    <t>Umur</t>
  </si>
  <si>
    <t>Stok Ayam</t>
  </si>
  <si>
    <t>MORTALITY</t>
  </si>
  <si>
    <t>FEED (Kg )</t>
  </si>
  <si>
    <t>Body Weight</t>
  </si>
  <si>
    <t>ACTUAL</t>
  </si>
  <si>
    <t>STANDAR FEED</t>
  </si>
  <si>
    <t>Program Obat</t>
  </si>
  <si>
    <t>Per</t>
  </si>
  <si>
    <t>Kumulatif</t>
  </si>
  <si>
    <t>STD</t>
  </si>
  <si>
    <t>Act</t>
  </si>
  <si>
    <t>Per Minggu</t>
  </si>
  <si>
    <t>Std</t>
  </si>
  <si>
    <t>FI</t>
  </si>
  <si>
    <t>gr/ek</t>
  </si>
  <si>
    <t>Std Mg/gr</t>
  </si>
  <si>
    <t>Mati</t>
  </si>
  <si>
    <t>Afkir</t>
  </si>
  <si>
    <t>Jatah</t>
  </si>
  <si>
    <t>Lebih Ayam</t>
  </si>
  <si>
    <t>Kurang Ayam</t>
  </si>
  <si>
    <t>Selisih</t>
  </si>
  <si>
    <t>Minggu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</si>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</sst>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  <numFmt numFmtId="166" formatCode="_(* #,##0_);_(* \(#,##0\);_(* &quot;-&quot;??_);_(@_)"/>
    <numFmt numFmtId="167" formatCode="[$-409]dd\-mmm\-yy;@"/>
    <numFmt numFmtId="168" formatCode="_(* #,##0.0000_);_(* \(#,##0.0000\);_(* &quot;-&quot;??_);_(@_)"/>
  </numFmts>
  <fonts count="16" x14ac:knownFonts="1">
    <font>
      <sz val="11"/>
      <color theme="1"/>
      <name val="Calibri"/>
      <family val="2"/>
      <charset val="1"/>
      <scheme val="minor"/>
    </font>
    <font>
      <sz val="11"/>
      <color indexed="9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b/>
      <sz val="18"/>
      <name val="Cambria"/>
      <family val="1"/>
    </font>
    <font>
      <b/>
      <sz val="16"/>
      <name val="Cambria"/>
      <family val="1"/>
    </font>
    <font>
      <sz val="9"/>
      <name val="Calibri"/>
      <family val="2"/>
    </font>
    <font>
      <b/>
      <sz val="9"/>
      <name val="Calibri"/>
      <family val="2"/>
    </font>
    <font>
      <b/>
      <sz val="4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sz val="11"/>
      <color indexed="9"/>
      <name val="Calibri"/>
      <family val="2"/>
    </font>
    <font>
      <sz val="11"/>
      <name val="Calibri"/>
      <family val="2"/>
      <charset val="1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1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10"/>
      </patternFill>
    </fill>
    <fill>
      <patternFill patternType="solid">
        <fgColor theme="5" tint="0.59999389629810485"/>
        <bgColor indexed="10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9"/>
      </bottom>
      <diagonal/>
    </border>
    <border>
      <left/>
      <right/>
      <top/>
      <bottom style="hair">
        <color indexed="9"/>
      </bottom>
      <diagonal/>
    </border>
    <border>
      <left/>
      <right/>
      <top style="hair">
        <color indexed="9"/>
      </top>
      <bottom style="hair">
        <color indexed="9"/>
      </bottom>
      <diagonal/>
    </border>
    <border>
      <left/>
      <right/>
      <top style="hair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 applyFill="0" applyProtection="0">
      <alignment vertical="center"/>
    </xf>
    <xf numFmtId="0" fontId="3" fillId="0" borderId="0">
      <protection locked="0"/>
    </xf>
    <xf numFmtId="0" fontId="13" fillId="0" borderId="0" applyFill="0" applyProtection="0">
      <alignment vertical="center"/>
    </xf>
    <xf numFmtId="0" fontId="15" fillId="0" borderId="0">
      <alignment vertical="center"/>
    </xf>
    <xf numFmtId="41" fontId="3" fillId="0" borderId="0">
      <protection locked="0"/>
    </xf>
    <xf numFmtId="43" fontId="3" fillId="0" borderId="0">
      <protection locked="0"/>
    </xf>
  </cellStyleXfs>
  <cellXfs count="97">
    <xf numFmtId="0" fontId="0" fillId="0" borderId="0" xfId="0"/>
    <xf numFmtId="1" fontId="2" fillId="5" borderId="5" xfId="2" applyNumberFormat="1" applyFont="1" applyFill="1" applyBorder="1" applyAlignment="1" applyProtection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14" fillId="5" borderId="0" xfId="0" applyFont="1" applyFill="1" applyAlignment="1" applyProtection="1">
      <alignment vertical="center"/>
    </xf>
    <xf numFmtId="0" fontId="5" fillId="4" borderId="0" xfId="0" applyFont="1" applyFill="1" applyAlignment="1" applyProtection="1">
      <alignment horizontal="center" vertical="center"/>
    </xf>
    <xf numFmtId="164" fontId="5" fillId="4" borderId="0" xfId="0" applyNumberFormat="1" applyFont="1" applyFill="1" applyAlignment="1" applyProtection="1">
      <alignment horizontal="center" vertical="center"/>
    </xf>
    <xf numFmtId="165" fontId="5" fillId="4" borderId="0" xfId="0" applyNumberFormat="1" applyFont="1" applyFill="1" applyAlignment="1" applyProtection="1">
      <alignment horizontal="center" vertical="center"/>
    </xf>
    <xf numFmtId="2" fontId="5" fillId="4" borderId="0" xfId="0" applyNumberFormat="1" applyFont="1" applyFill="1" applyAlignment="1" applyProtection="1">
      <alignment horizontal="center" vertical="center"/>
    </xf>
    <xf numFmtId="0" fontId="6" fillId="4" borderId="0" xfId="0" applyFont="1" applyFill="1" applyAlignment="1" applyProtection="1">
      <alignment vertical="center"/>
    </xf>
    <xf numFmtId="164" fontId="6" fillId="4" borderId="0" xfId="0" applyNumberFormat="1" applyFont="1" applyFill="1" applyAlignment="1" applyProtection="1">
      <alignment vertical="center"/>
    </xf>
    <xf numFmtId="16" fontId="6" fillId="4" borderId="0" xfId="0" applyNumberFormat="1" applyFont="1" applyFill="1" applyAlignment="1" applyProtection="1">
      <alignment vertical="center"/>
    </xf>
    <xf numFmtId="165" fontId="6" fillId="4" borderId="0" xfId="0" applyNumberFormat="1" applyFont="1" applyFill="1" applyAlignment="1" applyProtection="1">
      <alignment vertical="center"/>
    </xf>
    <xf numFmtId="2" fontId="6" fillId="4" borderId="2" xfId="0" applyNumberFormat="1" applyFont="1" applyFill="1" applyBorder="1" applyAlignment="1" applyProtection="1">
      <alignment vertical="center"/>
    </xf>
    <xf numFmtId="0" fontId="6" fillId="4" borderId="2" xfId="0" applyFont="1" applyFill="1" applyBorder="1" applyAlignment="1" applyProtection="1">
      <alignment vertical="center"/>
    </xf>
    <xf numFmtId="0" fontId="14" fillId="4" borderId="0" xfId="0" applyFont="1" applyFill="1" applyAlignment="1" applyProtection="1"/>
    <xf numFmtId="164" fontId="7" fillId="4" borderId="2" xfId="0" applyNumberFormat="1" applyFont="1" applyFill="1" applyBorder="1" applyAlignment="1" applyProtection="1">
      <alignment vertical="center"/>
    </xf>
    <xf numFmtId="0" fontId="7" fillId="5" borderId="0" xfId="0" applyFont="1" applyFill="1" applyAlignment="1" applyProtection="1">
      <alignment horizontal="left" vertical="center"/>
    </xf>
    <xf numFmtId="3" fontId="7" fillId="5" borderId="0" xfId="0" applyNumberFormat="1" applyFont="1" applyFill="1" applyAlignment="1" applyProtection="1">
      <alignment horizontal="right" vertical="center"/>
    </xf>
    <xf numFmtId="0" fontId="7" fillId="5" borderId="0" xfId="0" applyFont="1" applyFill="1" applyAlignment="1" applyProtection="1">
      <alignment horizontal="right" vertical="center"/>
    </xf>
    <xf numFmtId="164" fontId="7" fillId="4" borderId="3" xfId="0" applyNumberFormat="1" applyFont="1" applyFill="1" applyBorder="1" applyAlignment="1" applyProtection="1">
      <alignment vertical="center"/>
    </xf>
    <xf numFmtId="0" fontId="6" fillId="4" borderId="3" xfId="0" applyFont="1" applyFill="1" applyBorder="1" applyAlignment="1" applyProtection="1">
      <alignment vertical="center"/>
    </xf>
    <xf numFmtId="166" fontId="7" fillId="4" borderId="0" xfId="0" applyNumberFormat="1" applyFont="1" applyFill="1" applyAlignment="1" applyProtection="1">
      <alignment vertical="center"/>
    </xf>
    <xf numFmtId="164" fontId="6" fillId="4" borderId="3" xfId="0" applyNumberFormat="1" applyFont="1" applyFill="1" applyBorder="1" applyAlignment="1" applyProtection="1">
      <alignment vertical="center"/>
    </xf>
    <xf numFmtId="0" fontId="7" fillId="4" borderId="0" xfId="0" applyFont="1" applyFill="1" applyAlignment="1" applyProtection="1">
      <alignment horizontal="left"/>
    </xf>
    <xf numFmtId="0" fontId="7" fillId="4" borderId="0" xfId="0" applyFont="1" applyFill="1" applyAlignment="1" applyProtection="1"/>
    <xf numFmtId="14" fontId="7" fillId="4" borderId="3" xfId="0" applyNumberFormat="1" applyFont="1" applyFill="1" applyBorder="1" applyAlignment="1" applyProtection="1">
      <alignment vertical="center"/>
    </xf>
    <xf numFmtId="2" fontId="6" fillId="4" borderId="3" xfId="0" applyNumberFormat="1" applyFont="1" applyFill="1" applyBorder="1" applyAlignment="1" applyProtection="1">
      <alignment vertical="center"/>
    </xf>
    <xf numFmtId="0" fontId="9" fillId="4" borderId="0" xfId="0" applyFont="1" applyFill="1" applyAlignment="1" applyProtection="1"/>
    <xf numFmtId="164" fontId="14" fillId="4" borderId="0" xfId="0" applyNumberFormat="1" applyFont="1" applyFill="1" applyAlignment="1" applyProtection="1"/>
    <xf numFmtId="0" fontId="6" fillId="4" borderId="0" xfId="0" applyFont="1" applyFill="1" applyAlignment="1" applyProtection="1">
      <alignment horizontal="left" vertical="center"/>
    </xf>
    <xf numFmtId="164" fontId="7" fillId="4" borderId="0" xfId="0" applyNumberFormat="1" applyFont="1" applyFill="1" applyAlignment="1" applyProtection="1">
      <alignment vertical="center"/>
    </xf>
    <xf numFmtId="164" fontId="6" fillId="4" borderId="4" xfId="0" applyNumberFormat="1" applyFont="1" applyFill="1" applyBorder="1" applyAlignment="1" applyProtection="1">
      <alignment vertical="center"/>
    </xf>
    <xf numFmtId="0" fontId="6" fillId="4" borderId="4" xfId="0" applyFont="1" applyFill="1" applyBorder="1" applyAlignment="1" applyProtection="1">
      <alignment vertical="center"/>
    </xf>
    <xf numFmtId="0" fontId="7" fillId="4" borderId="0" xfId="0" applyFont="1" applyFill="1" applyAlignment="1" applyProtection="1">
      <alignment horizontal="right" vertical="center"/>
    </xf>
    <xf numFmtId="2" fontId="6" fillId="4" borderId="0" xfId="0" applyNumberFormat="1" applyFont="1" applyFill="1" applyAlignment="1" applyProtection="1">
      <alignment vertical="center"/>
    </xf>
    <xf numFmtId="0" fontId="14" fillId="4" borderId="0" xfId="0" applyFont="1" applyFill="1" applyAlignment="1" applyProtection="1">
      <alignment vertical="center"/>
    </xf>
    <xf numFmtId="0" fontId="10" fillId="4" borderId="5" xfId="0" applyFont="1" applyFill="1" applyBorder="1" applyAlignment="1" applyProtection="1">
      <alignment horizontal="center" vertical="center"/>
    </xf>
    <xf numFmtId="165" fontId="10" fillId="4" borderId="5" xfId="0" applyNumberFormat="1" applyFont="1" applyFill="1" applyBorder="1" applyAlignment="1" applyProtection="1">
      <alignment horizontal="center" vertical="center"/>
    </xf>
    <xf numFmtId="167" fontId="14" fillId="4" borderId="5" xfId="0" applyNumberFormat="1" applyFont="1" applyFill="1" applyBorder="1" applyAlignment="1" applyProtection="1">
      <alignment horizontal="center" vertical="center"/>
    </xf>
    <xf numFmtId="164" fontId="14" fillId="4" borderId="5" xfId="0" applyNumberFormat="1" applyFont="1" applyFill="1" applyBorder="1" applyAlignment="1" applyProtection="1">
      <alignment horizontal="center" vertical="center"/>
    </xf>
    <xf numFmtId="0" fontId="14" fillId="4" borderId="5" xfId="0" applyFont="1" applyFill="1" applyBorder="1" applyAlignment="1" applyProtection="1">
      <alignment horizontal="center" vertical="center"/>
    </xf>
    <xf numFmtId="165" fontId="14" fillId="5" borderId="5" xfId="0" applyNumberFormat="1" applyFont="1" applyFill="1" applyBorder="1" applyAlignment="1" applyProtection="1">
      <alignment horizontal="center" vertical="center"/>
    </xf>
    <xf numFmtId="2" fontId="14" fillId="4" borderId="5" xfId="0" applyNumberFormat="1" applyFont="1" applyFill="1" applyBorder="1" applyAlignment="1" applyProtection="1">
      <alignment horizontal="center" vertical="center"/>
    </xf>
    <xf numFmtId="165" fontId="11" fillId="4" borderId="5" xfId="0" applyNumberFormat="1" applyFont="1" applyFill="1" applyBorder="1" applyAlignment="1" applyProtection="1">
      <alignment horizontal="center" vertical="center"/>
    </xf>
    <xf numFmtId="164" fontId="2" fillId="4" borderId="5" xfId="0" applyNumberFormat="1" applyFont="1" applyFill="1" applyBorder="1" applyAlignment="1" applyProtection="1">
      <alignment horizontal="center" vertical="center"/>
    </xf>
    <xf numFmtId="0" fontId="14" fillId="4" borderId="5" xfId="0" applyFont="1" applyFill="1" applyBorder="1" applyAlignment="1" applyProtection="1">
      <alignment vertical="center"/>
    </xf>
    <xf numFmtId="168" fontId="14" fillId="4" borderId="5" xfId="0" applyNumberFormat="1" applyFont="1" applyFill="1" applyBorder="1" applyAlignment="1" applyProtection="1">
      <alignment horizontal="center" vertical="center"/>
    </xf>
    <xf numFmtId="164" fontId="10" fillId="4" borderId="5" xfId="0" applyNumberFormat="1" applyFont="1" applyFill="1" applyBorder="1" applyAlignment="1" applyProtection="1">
      <alignment horizontal="center" vertical="center"/>
    </xf>
    <xf numFmtId="2" fontId="10" fillId="4" borderId="5" xfId="0" applyNumberFormat="1" applyFont="1" applyFill="1" applyBorder="1" applyAlignment="1" applyProtection="1">
      <alignment horizontal="center" vertical="center"/>
    </xf>
    <xf numFmtId="0" fontId="10" fillId="4" borderId="5" xfId="0" applyFont="1" applyFill="1" applyBorder="1" applyAlignment="1" applyProtection="1">
      <alignment vertical="center"/>
    </xf>
    <xf numFmtId="1" fontId="10" fillId="4" borderId="5" xfId="0" applyNumberFormat="1" applyFont="1" applyFill="1" applyBorder="1" applyAlignment="1" applyProtection="1">
      <alignment horizontal="center" vertical="center"/>
    </xf>
    <xf numFmtId="0" fontId="14" fillId="5" borderId="5" xfId="0" applyFont="1" applyFill="1" applyBorder="1" applyAlignment="1" applyProtection="1">
      <alignment vertical="center"/>
    </xf>
    <xf numFmtId="0" fontId="10" fillId="6" borderId="5" xfId="0" applyFont="1" applyFill="1" applyBorder="1" applyAlignment="1" applyProtection="1">
      <alignment horizontal="center" vertical="center"/>
    </xf>
    <xf numFmtId="165" fontId="10" fillId="6" borderId="5" xfId="0" applyNumberFormat="1" applyFont="1" applyFill="1" applyBorder="1" applyAlignment="1" applyProtection="1">
      <alignment horizontal="center" vertical="center"/>
    </xf>
    <xf numFmtId="0" fontId="10" fillId="6" borderId="5" xfId="0" applyFont="1" applyFill="1" applyBorder="1" applyAlignment="1" applyProtection="1">
      <alignment horizontal="center" vertical="center" wrapText="1"/>
    </xf>
    <xf numFmtId="0" fontId="10" fillId="2" borderId="5" xfId="0" applyFont="1" applyFill="1" applyBorder="1" applyAlignment="1" applyProtection="1">
      <alignment horizontal="center" vertical="center"/>
    </xf>
    <xf numFmtId="167" fontId="14" fillId="2" borderId="5" xfId="0" applyNumberFormat="1" applyFont="1" applyFill="1" applyBorder="1" applyAlignment="1" applyProtection="1">
      <alignment horizontal="center" vertical="center"/>
    </xf>
    <xf numFmtId="164" fontId="14" fillId="2" borderId="5" xfId="0" applyNumberFormat="1" applyFont="1" applyFill="1" applyBorder="1" applyAlignment="1" applyProtection="1">
      <alignment horizontal="center" vertical="center"/>
    </xf>
    <xf numFmtId="0" fontId="14" fillId="2" borderId="5" xfId="0" applyFont="1" applyFill="1" applyBorder="1" applyAlignment="1" applyProtection="1">
      <alignment horizontal="center"/>
    </xf>
    <xf numFmtId="0" fontId="14" fillId="2" borderId="5" xfId="0" applyFont="1" applyFill="1" applyBorder="1" applyAlignment="1" applyProtection="1">
      <alignment horizontal="center" vertical="center"/>
    </xf>
    <xf numFmtId="165" fontId="11" fillId="2" borderId="5" xfId="0" applyNumberFormat="1" applyFont="1" applyFill="1" applyBorder="1" applyAlignment="1" applyProtection="1">
      <alignment horizontal="center" vertical="center"/>
    </xf>
    <xf numFmtId="165" fontId="14" fillId="2" borderId="5" xfId="0" applyNumberFormat="1" applyFont="1" applyFill="1" applyBorder="1" applyAlignment="1" applyProtection="1">
      <alignment horizontal="center" vertical="center"/>
    </xf>
    <xf numFmtId="0" fontId="11" fillId="2" borderId="5" xfId="0" applyFont="1" applyFill="1" applyBorder="1" applyAlignment="1" applyProtection="1">
      <alignment horizontal="center" vertical="center"/>
    </xf>
    <xf numFmtId="2" fontId="14" fillId="2" borderId="5" xfId="0" applyNumberFormat="1" applyFont="1" applyFill="1" applyBorder="1" applyAlignment="1" applyProtection="1">
      <alignment horizontal="center" vertical="center"/>
    </xf>
    <xf numFmtId="164" fontId="11" fillId="2" borderId="5" xfId="0" applyNumberFormat="1" applyFont="1" applyFill="1" applyBorder="1" applyAlignment="1" applyProtection="1">
      <alignment horizontal="center" vertical="center"/>
    </xf>
    <xf numFmtId="164" fontId="2" fillId="2" borderId="5" xfId="0" applyNumberFormat="1" applyFont="1" applyFill="1" applyBorder="1" applyAlignment="1" applyProtection="1">
      <alignment horizontal="center" vertical="center"/>
    </xf>
    <xf numFmtId="0" fontId="14" fillId="2" borderId="5" xfId="0" applyFont="1" applyFill="1" applyBorder="1" applyAlignment="1" applyProtection="1">
      <alignment vertical="center"/>
    </xf>
    <xf numFmtId="164" fontId="12" fillId="2" borderId="5" xfId="0" applyNumberFormat="1" applyFont="1" applyFill="1" applyBorder="1" applyAlignment="1" applyProtection="1">
      <alignment horizontal="center" vertical="center"/>
    </xf>
    <xf numFmtId="0" fontId="14" fillId="7" borderId="5" xfId="0" applyFont="1" applyFill="1" applyBorder="1" applyAlignment="1" applyProtection="1">
      <alignment horizontal="center"/>
    </xf>
    <xf numFmtId="165" fontId="14" fillId="7" borderId="5" xfId="0" applyNumberFormat="1" applyFont="1" applyFill="1" applyBorder="1" applyAlignment="1" applyProtection="1">
      <alignment horizontal="center" vertical="center"/>
    </xf>
    <xf numFmtId="0" fontId="14" fillId="7" borderId="5" xfId="0" applyNumberFormat="1" applyFont="1" applyFill="1" applyBorder="1" applyAlignment="1" applyProtection="1">
      <alignment horizontal="center" vertical="center"/>
    </xf>
    <xf numFmtId="165" fontId="3" fillId="0" borderId="6" xfId="5" applyNumberFormat="1" applyFont="1" applyFill="1" applyBorder="1" applyAlignment="1" applyProtection="1">
      <alignment horizontal="center" vertical="center"/>
    </xf>
    <xf numFmtId="165" fontId="3" fillId="0" borderId="5" xfId="5" applyNumberFormat="1" applyFont="1" applyFill="1" applyBorder="1" applyAlignment="1" applyProtection="1">
      <alignment horizontal="center" vertical="center"/>
    </xf>
    <xf numFmtId="165" fontId="2" fillId="0" borderId="5" xfId="5" applyNumberFormat="1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7" fillId="4" borderId="2" xfId="0" applyFont="1" applyFill="1" applyBorder="1" applyAlignment="1" applyProtection="1">
      <alignment horizontal="right" vertical="center"/>
    </xf>
    <xf numFmtId="0" fontId="8" fillId="4" borderId="0" xfId="0" applyFont="1" applyFill="1" applyAlignment="1" applyProtection="1">
      <alignment horizontal="center" vertical="center"/>
    </xf>
    <xf numFmtId="0" fontId="7" fillId="4" borderId="3" xfId="0" applyFont="1" applyFill="1" applyBorder="1" applyAlignment="1" applyProtection="1">
      <alignment horizontal="right" vertical="center"/>
    </xf>
    <xf numFmtId="2" fontId="6" fillId="4" borderId="3" xfId="0" applyNumberFormat="1" applyFont="1" applyFill="1" applyBorder="1" applyAlignment="1" applyProtection="1">
      <alignment horizontal="center" vertical="center"/>
    </xf>
    <xf numFmtId="0" fontId="10" fillId="6" borderId="5" xfId="0" applyFont="1" applyFill="1" applyBorder="1" applyAlignment="1" applyProtection="1">
      <alignment horizontal="center" vertical="center"/>
    </xf>
    <xf numFmtId="0" fontId="7" fillId="4" borderId="4" xfId="0" applyFont="1" applyFill="1" applyBorder="1" applyAlignment="1" applyProtection="1">
      <alignment horizontal="right" vertical="center"/>
    </xf>
    <xf numFmtId="164" fontId="10" fillId="6" borderId="5" xfId="0" applyNumberFormat="1" applyFont="1" applyFill="1" applyBorder="1" applyAlignment="1" applyProtection="1">
      <alignment horizontal="center" vertical="center"/>
    </xf>
    <xf numFmtId="165" fontId="10" fillId="6" borderId="5" xfId="0" applyNumberFormat="1" applyFont="1" applyFill="1" applyBorder="1" applyAlignment="1" applyProtection="1">
      <alignment horizontal="center" vertical="center"/>
    </xf>
    <xf numFmtId="0" fontId="10" fillId="6" borderId="5" xfId="0" applyFont="1" applyFill="1" applyBorder="1" applyAlignment="1" applyProtection="1">
      <alignment horizontal="center" vertical="center" wrapText="1"/>
    </xf>
    <xf numFmtId="2" fontId="10" fillId="6" borderId="5" xfId="0" applyNumberFormat="1" applyFont="1" applyFill="1" applyBorder="1" applyAlignment="1" applyProtection="1">
      <alignment horizontal="center" vertical="center"/>
    </xf>
    <xf numFmtId="165" fontId="2" fillId="5" borderId="5" xfId="5" applyNumberFormat="1" applyFont="1" applyFill="1" applyBorder="1" applyAlignment="1" applyProtection="1">
      <alignment horizontal="center" vertical="center"/>
    </xf>
    <xf numFmtId="165" fontId="3" fillId="5" borderId="5" xfId="5" applyNumberFormat="1" applyFont="1" applyFill="1" applyBorder="1" applyAlignment="1" applyProtection="1">
      <alignment horizontal="center" vertical="center"/>
    </xf>
    <xf numFmtId="0" fontId="14" fillId="2" borderId="5" xfId="0" applyNumberFormat="1" applyFont="1" applyFill="1" applyBorder="1" applyAlignment="1" applyProtection="1">
      <alignment horizontal="center" vertical="center"/>
    </xf>
    <xf numFmtId="165" fontId="3" fillId="3" borderId="5" xfId="5" applyNumberFormat="1" applyFont="1" applyFill="1" applyBorder="1" applyAlignment="1" applyProtection="1">
      <alignment horizontal="center" vertical="center"/>
    </xf>
    <xf numFmtId="165" fontId="14" fillId="3" borderId="5" xfId="0" applyNumberFormat="1" applyFont="1" applyFill="1" applyBorder="1" applyAlignment="1" applyProtection="1">
      <alignment horizontal="center" vertical="center"/>
    </xf>
    <xf numFmtId="165" fontId="14" fillId="4" borderId="5" xfId="0" applyNumberFormat="1" applyFont="1" applyFill="1" applyBorder="1" applyAlignment="1" applyProtection="1">
      <alignment horizontal="center" vertical="center"/>
    </xf>
    <xf numFmtId="0" fontId="11" fillId="4" borderId="5" xfId="0" applyFont="1" applyFill="1" applyBorder="1" applyAlignment="1" applyProtection="1">
      <alignment horizontal="center" vertical="center"/>
    </xf>
    <xf numFmtId="164" fontId="11" fillId="4" borderId="5" xfId="0" applyNumberFormat="1" applyFont="1" applyFill="1" applyBorder="1" applyAlignment="1" applyProtection="1">
      <alignment horizontal="center" vertical="center"/>
    </xf>
    <xf numFmtId="0" fontId="2" fillId="5" borderId="5" xfId="2" applyFont="1" applyFill="1" applyBorder="1" applyAlignment="1" applyProtection="1">
      <alignment horizontal="center" vertical="center"/>
    </xf>
    <xf numFmtId="164" fontId="12" fillId="4" borderId="5" xfId="0" applyNumberFormat="1" applyFont="1" applyFill="1" applyBorder="1" applyAlignment="1" applyProtection="1">
      <alignment horizontal="center" vertical="center"/>
    </xf>
    <xf numFmtId="1" fontId="2" fillId="3" borderId="5" xfId="2" applyNumberFormat="1" applyFont="1" applyFill="1" applyBorder="1" applyAlignment="1" applyProtection="1">
      <alignment horizontal="center" vertical="center"/>
    </xf>
  </cellXfs>
  <cellStyles count="7">
    <cellStyle name="Comma [0] 2" xfId="5" xr:uid="{00000000-0005-0000-0000-000033000000}"/>
    <cellStyle name="Comma 2" xfId="6" xr:uid="{00000000-0005-0000-0000-000032000000}"/>
    <cellStyle name="Normal" xfId="0" builtinId="0"/>
    <cellStyle name="Normal 2" xfId="1" xr:uid="{D86A30AE-84D3-4AA0-8AED-9DA51F5CC5B0}"/>
    <cellStyle name="Normal 2 2" xfId="2" xr:uid="{952FA6AA-6AE8-47B0-A6BB-F3BBA54F0B4D}"/>
    <cellStyle name="Normal 3" xfId="3" xr:uid="{CFB3F7D6-8BA1-4D1D-B404-1E4DEB364AD2}"/>
    <cellStyle name="Normal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210C-7761-4B24-8500-E87198DC0FC4}">
  <sheetPr>
    <tabColor indexed="8"/>
    <pageSetUpPr fitToPage="1"/>
  </sheetPr>
  <dimension ref="A1:Y63"/>
  <sheetViews>
    <sheetView tabSelected="1" showRuler="0" topLeftCell="H34" zoomScaleNormal="100" workbookViewId="0">
      <selection activeCell="W61" sqref="W61"/>
    </sheetView>
  </sheetViews>
  <sheetFormatPr defaultRowHeight="15" x14ac:dyDescent="0.25"/>
  <cols>
    <col min="1" max="1" width="11.28515625" style="4" customWidth="1"/>
    <col min="2" max="2" width="6" style="4" customWidth="1"/>
    <col min="3" max="3" width="10.7109375" style="4" customWidth="1"/>
    <col min="4" max="4" width="6.85546875" style="4" customWidth="1"/>
    <col min="5" max="6" width="5.85546875" style="4" customWidth="1"/>
    <col min="7" max="7" width="7.85546875" style="4" customWidth="1"/>
    <col min="8" max="9" width="7.140625" style="4" customWidth="1"/>
    <col min="10" max="10" width="9.5703125" style="4" bestFit="1" customWidth="1"/>
    <col min="11" max="11" width="9.7109375" style="4" customWidth="1"/>
    <col min="12" max="12" width="8.42578125" style="4" customWidth="1"/>
    <col min="13" max="13" width="6" style="4" customWidth="1"/>
    <col min="14" max="14" width="6.85546875" style="4" customWidth="1"/>
    <col min="15" max="15" width="8.140625" style="4" customWidth="1"/>
    <col min="16" max="16" width="9.7109375" style="4" customWidth="1"/>
    <col min="17" max="17" width="8" style="4" customWidth="1"/>
    <col min="18" max="19" width="6.85546875" style="4" customWidth="1"/>
    <col min="20" max="20" width="8.42578125" style="4" customWidth="1"/>
    <col min="21" max="21" width="11.140625" style="4" customWidth="1"/>
    <col min="22" max="22" width="8.5703125" style="4" customWidth="1"/>
    <col min="23" max="23" width="7.5703125" style="4" customWidth="1"/>
    <col min="24" max="24" width="10.5703125" style="4" bestFit="1" customWidth="1"/>
    <col min="25" max="25" width="27.42578125" style="4" customWidth="1"/>
    <col min="26" max="256" width="9.140625" style="4"/>
    <col min="257" max="257" width="11.28515625" style="4" customWidth="1"/>
    <col min="258" max="258" width="6" style="4" customWidth="1"/>
    <col min="259" max="259" width="10.7109375" style="4" customWidth="1"/>
    <col min="260" max="260" width="6.85546875" style="4" customWidth="1"/>
    <col min="261" max="262" width="5.85546875" style="4" customWidth="1"/>
    <col min="263" max="263" width="7.85546875" style="4" customWidth="1"/>
    <col min="264" max="265" width="7.140625" style="4" customWidth="1"/>
    <col min="266" max="266" width="9.5703125" style="4" bestFit="1" customWidth="1"/>
    <col min="267" max="267" width="9.7109375" style="4" customWidth="1"/>
    <col min="268" max="268" width="8.42578125" style="4" customWidth="1"/>
    <col min="269" max="269" width="6" style="4" customWidth="1"/>
    <col min="270" max="270" width="6.85546875" style="4" customWidth="1"/>
    <col min="271" max="271" width="8.140625" style="4" customWidth="1"/>
    <col min="272" max="272" width="9.7109375" style="4" customWidth="1"/>
    <col min="273" max="273" width="8" style="4" customWidth="1"/>
    <col min="274" max="275" width="6.85546875" style="4" customWidth="1"/>
    <col min="276" max="276" width="8.42578125" style="4" customWidth="1"/>
    <col min="277" max="277" width="11.140625" style="4" customWidth="1"/>
    <col min="278" max="278" width="8.5703125" style="4" customWidth="1"/>
    <col min="279" max="279" width="7.5703125" style="4" customWidth="1"/>
    <col min="280" max="280" width="10.5703125" style="4" bestFit="1" customWidth="1"/>
    <col min="281" max="281" width="27.42578125" style="4" customWidth="1"/>
    <col min="282" max="512" width="9.140625" style="4"/>
    <col min="513" max="513" width="11.28515625" style="4" customWidth="1"/>
    <col min="514" max="514" width="6" style="4" customWidth="1"/>
    <col min="515" max="515" width="10.7109375" style="4" customWidth="1"/>
    <col min="516" max="516" width="6.85546875" style="4" customWidth="1"/>
    <col min="517" max="518" width="5.85546875" style="4" customWidth="1"/>
    <col min="519" max="519" width="7.85546875" style="4" customWidth="1"/>
    <col min="520" max="521" width="7.140625" style="4" customWidth="1"/>
    <col min="522" max="522" width="9.5703125" style="4" bestFit="1" customWidth="1"/>
    <col min="523" max="523" width="9.7109375" style="4" customWidth="1"/>
    <col min="524" max="524" width="8.42578125" style="4" customWidth="1"/>
    <col min="525" max="525" width="6" style="4" customWidth="1"/>
    <col min="526" max="526" width="6.85546875" style="4" customWidth="1"/>
    <col min="527" max="527" width="8.140625" style="4" customWidth="1"/>
    <col min="528" max="528" width="9.7109375" style="4" customWidth="1"/>
    <col min="529" max="529" width="8" style="4" customWidth="1"/>
    <col min="530" max="531" width="6.85546875" style="4" customWidth="1"/>
    <col min="532" max="532" width="8.42578125" style="4" customWidth="1"/>
    <col min="533" max="533" width="11.140625" style="4" customWidth="1"/>
    <col min="534" max="534" width="8.5703125" style="4" customWidth="1"/>
    <col min="535" max="535" width="7.5703125" style="4" customWidth="1"/>
    <col min="536" max="536" width="10.5703125" style="4" bestFit="1" customWidth="1"/>
    <col min="537" max="537" width="27.42578125" style="4" customWidth="1"/>
    <col min="538" max="768" width="9.140625" style="4"/>
    <col min="769" max="769" width="11.28515625" style="4" customWidth="1"/>
    <col min="770" max="770" width="6" style="4" customWidth="1"/>
    <col min="771" max="771" width="10.7109375" style="4" customWidth="1"/>
    <col min="772" max="772" width="6.85546875" style="4" customWidth="1"/>
    <col min="773" max="774" width="5.85546875" style="4" customWidth="1"/>
    <col min="775" max="775" width="7.85546875" style="4" customWidth="1"/>
    <col min="776" max="777" width="7.140625" style="4" customWidth="1"/>
    <col min="778" max="778" width="9.5703125" style="4" bestFit="1" customWidth="1"/>
    <col min="779" max="779" width="9.7109375" style="4" customWidth="1"/>
    <col min="780" max="780" width="8.42578125" style="4" customWidth="1"/>
    <col min="781" max="781" width="6" style="4" customWidth="1"/>
    <col min="782" max="782" width="6.85546875" style="4" customWidth="1"/>
    <col min="783" max="783" width="8.140625" style="4" customWidth="1"/>
    <col min="784" max="784" width="9.7109375" style="4" customWidth="1"/>
    <col min="785" max="785" width="8" style="4" customWidth="1"/>
    <col min="786" max="787" width="6.85546875" style="4" customWidth="1"/>
    <col min="788" max="788" width="8.42578125" style="4" customWidth="1"/>
    <col min="789" max="789" width="11.140625" style="4" customWidth="1"/>
    <col min="790" max="790" width="8.5703125" style="4" customWidth="1"/>
    <col min="791" max="791" width="7.5703125" style="4" customWidth="1"/>
    <col min="792" max="792" width="10.5703125" style="4" bestFit="1" customWidth="1"/>
    <col min="793" max="793" width="27.42578125" style="4" customWidth="1"/>
    <col min="794" max="1024" width="9.140625" style="4"/>
    <col min="1025" max="1025" width="11.28515625" style="4" customWidth="1"/>
    <col min="1026" max="1026" width="6" style="4" customWidth="1"/>
    <col min="1027" max="1027" width="10.7109375" style="4" customWidth="1"/>
    <col min="1028" max="1028" width="6.85546875" style="4" customWidth="1"/>
    <col min="1029" max="1030" width="5.85546875" style="4" customWidth="1"/>
    <col min="1031" max="1031" width="7.85546875" style="4" customWidth="1"/>
    <col min="1032" max="1033" width="7.140625" style="4" customWidth="1"/>
    <col min="1034" max="1034" width="9.5703125" style="4" bestFit="1" customWidth="1"/>
    <col min="1035" max="1035" width="9.7109375" style="4" customWidth="1"/>
    <col min="1036" max="1036" width="8.42578125" style="4" customWidth="1"/>
    <col min="1037" max="1037" width="6" style="4" customWidth="1"/>
    <col min="1038" max="1038" width="6.85546875" style="4" customWidth="1"/>
    <col min="1039" max="1039" width="8.140625" style="4" customWidth="1"/>
    <col min="1040" max="1040" width="9.7109375" style="4" customWidth="1"/>
    <col min="1041" max="1041" width="8" style="4" customWidth="1"/>
    <col min="1042" max="1043" width="6.85546875" style="4" customWidth="1"/>
    <col min="1044" max="1044" width="8.42578125" style="4" customWidth="1"/>
    <col min="1045" max="1045" width="11.140625" style="4" customWidth="1"/>
    <col min="1046" max="1046" width="8.5703125" style="4" customWidth="1"/>
    <col min="1047" max="1047" width="7.5703125" style="4" customWidth="1"/>
    <col min="1048" max="1048" width="10.5703125" style="4" bestFit="1" customWidth="1"/>
    <col min="1049" max="1049" width="27.42578125" style="4" customWidth="1"/>
    <col min="1050" max="1280" width="9.140625" style="4"/>
    <col min="1281" max="1281" width="11.28515625" style="4" customWidth="1"/>
    <col min="1282" max="1282" width="6" style="4" customWidth="1"/>
    <col min="1283" max="1283" width="10.7109375" style="4" customWidth="1"/>
    <col min="1284" max="1284" width="6.85546875" style="4" customWidth="1"/>
    <col min="1285" max="1286" width="5.85546875" style="4" customWidth="1"/>
    <col min="1287" max="1287" width="7.85546875" style="4" customWidth="1"/>
    <col min="1288" max="1289" width="7.140625" style="4" customWidth="1"/>
    <col min="1290" max="1290" width="9.5703125" style="4" bestFit="1" customWidth="1"/>
    <col min="1291" max="1291" width="9.7109375" style="4" customWidth="1"/>
    <col min="1292" max="1292" width="8.42578125" style="4" customWidth="1"/>
    <col min="1293" max="1293" width="6" style="4" customWidth="1"/>
    <col min="1294" max="1294" width="6.85546875" style="4" customWidth="1"/>
    <col min="1295" max="1295" width="8.140625" style="4" customWidth="1"/>
    <col min="1296" max="1296" width="9.7109375" style="4" customWidth="1"/>
    <col min="1297" max="1297" width="8" style="4" customWidth="1"/>
    <col min="1298" max="1299" width="6.85546875" style="4" customWidth="1"/>
    <col min="1300" max="1300" width="8.42578125" style="4" customWidth="1"/>
    <col min="1301" max="1301" width="11.140625" style="4" customWidth="1"/>
    <col min="1302" max="1302" width="8.5703125" style="4" customWidth="1"/>
    <col min="1303" max="1303" width="7.5703125" style="4" customWidth="1"/>
    <col min="1304" max="1304" width="10.5703125" style="4" bestFit="1" customWidth="1"/>
    <col min="1305" max="1305" width="27.42578125" style="4" customWidth="1"/>
    <col min="1306" max="1536" width="9.140625" style="4"/>
    <col min="1537" max="1537" width="11.28515625" style="4" customWidth="1"/>
    <col min="1538" max="1538" width="6" style="4" customWidth="1"/>
    <col min="1539" max="1539" width="10.7109375" style="4" customWidth="1"/>
    <col min="1540" max="1540" width="6.85546875" style="4" customWidth="1"/>
    <col min="1541" max="1542" width="5.85546875" style="4" customWidth="1"/>
    <col min="1543" max="1543" width="7.85546875" style="4" customWidth="1"/>
    <col min="1544" max="1545" width="7.140625" style="4" customWidth="1"/>
    <col min="1546" max="1546" width="9.5703125" style="4" bestFit="1" customWidth="1"/>
    <col min="1547" max="1547" width="9.7109375" style="4" customWidth="1"/>
    <col min="1548" max="1548" width="8.42578125" style="4" customWidth="1"/>
    <col min="1549" max="1549" width="6" style="4" customWidth="1"/>
    <col min="1550" max="1550" width="6.85546875" style="4" customWidth="1"/>
    <col min="1551" max="1551" width="8.140625" style="4" customWidth="1"/>
    <col min="1552" max="1552" width="9.7109375" style="4" customWidth="1"/>
    <col min="1553" max="1553" width="8" style="4" customWidth="1"/>
    <col min="1554" max="1555" width="6.85546875" style="4" customWidth="1"/>
    <col min="1556" max="1556" width="8.42578125" style="4" customWidth="1"/>
    <col min="1557" max="1557" width="11.140625" style="4" customWidth="1"/>
    <col min="1558" max="1558" width="8.5703125" style="4" customWidth="1"/>
    <col min="1559" max="1559" width="7.5703125" style="4" customWidth="1"/>
    <col min="1560" max="1560" width="10.5703125" style="4" bestFit="1" customWidth="1"/>
    <col min="1561" max="1561" width="27.42578125" style="4" customWidth="1"/>
    <col min="1562" max="1792" width="9.140625" style="4"/>
    <col min="1793" max="1793" width="11.28515625" style="4" customWidth="1"/>
    <col min="1794" max="1794" width="6" style="4" customWidth="1"/>
    <col min="1795" max="1795" width="10.7109375" style="4" customWidth="1"/>
    <col min="1796" max="1796" width="6.85546875" style="4" customWidth="1"/>
    <col min="1797" max="1798" width="5.85546875" style="4" customWidth="1"/>
    <col min="1799" max="1799" width="7.85546875" style="4" customWidth="1"/>
    <col min="1800" max="1801" width="7.140625" style="4" customWidth="1"/>
    <col min="1802" max="1802" width="9.5703125" style="4" bestFit="1" customWidth="1"/>
    <col min="1803" max="1803" width="9.7109375" style="4" customWidth="1"/>
    <col min="1804" max="1804" width="8.42578125" style="4" customWidth="1"/>
    <col min="1805" max="1805" width="6" style="4" customWidth="1"/>
    <col min="1806" max="1806" width="6.85546875" style="4" customWidth="1"/>
    <col min="1807" max="1807" width="8.140625" style="4" customWidth="1"/>
    <col min="1808" max="1808" width="9.7109375" style="4" customWidth="1"/>
    <col min="1809" max="1809" width="8" style="4" customWidth="1"/>
    <col min="1810" max="1811" width="6.85546875" style="4" customWidth="1"/>
    <col min="1812" max="1812" width="8.42578125" style="4" customWidth="1"/>
    <col min="1813" max="1813" width="11.140625" style="4" customWidth="1"/>
    <col min="1814" max="1814" width="8.5703125" style="4" customWidth="1"/>
    <col min="1815" max="1815" width="7.5703125" style="4" customWidth="1"/>
    <col min="1816" max="1816" width="10.5703125" style="4" bestFit="1" customWidth="1"/>
    <col min="1817" max="1817" width="27.42578125" style="4" customWidth="1"/>
    <col min="1818" max="2048" width="9.140625" style="4"/>
    <col min="2049" max="2049" width="11.28515625" style="4" customWidth="1"/>
    <col min="2050" max="2050" width="6" style="4" customWidth="1"/>
    <col min="2051" max="2051" width="10.7109375" style="4" customWidth="1"/>
    <col min="2052" max="2052" width="6.85546875" style="4" customWidth="1"/>
    <col min="2053" max="2054" width="5.85546875" style="4" customWidth="1"/>
    <col min="2055" max="2055" width="7.85546875" style="4" customWidth="1"/>
    <col min="2056" max="2057" width="7.140625" style="4" customWidth="1"/>
    <col min="2058" max="2058" width="9.5703125" style="4" bestFit="1" customWidth="1"/>
    <col min="2059" max="2059" width="9.7109375" style="4" customWidth="1"/>
    <col min="2060" max="2060" width="8.42578125" style="4" customWidth="1"/>
    <col min="2061" max="2061" width="6" style="4" customWidth="1"/>
    <col min="2062" max="2062" width="6.85546875" style="4" customWidth="1"/>
    <col min="2063" max="2063" width="8.140625" style="4" customWidth="1"/>
    <col min="2064" max="2064" width="9.7109375" style="4" customWidth="1"/>
    <col min="2065" max="2065" width="8" style="4" customWidth="1"/>
    <col min="2066" max="2067" width="6.85546875" style="4" customWidth="1"/>
    <col min="2068" max="2068" width="8.42578125" style="4" customWidth="1"/>
    <col min="2069" max="2069" width="11.140625" style="4" customWidth="1"/>
    <col min="2070" max="2070" width="8.5703125" style="4" customWidth="1"/>
    <col min="2071" max="2071" width="7.5703125" style="4" customWidth="1"/>
    <col min="2072" max="2072" width="10.5703125" style="4" bestFit="1" customWidth="1"/>
    <col min="2073" max="2073" width="27.42578125" style="4" customWidth="1"/>
    <col min="2074" max="2304" width="9.140625" style="4"/>
    <col min="2305" max="2305" width="11.28515625" style="4" customWidth="1"/>
    <col min="2306" max="2306" width="6" style="4" customWidth="1"/>
    <col min="2307" max="2307" width="10.7109375" style="4" customWidth="1"/>
    <col min="2308" max="2308" width="6.85546875" style="4" customWidth="1"/>
    <col min="2309" max="2310" width="5.85546875" style="4" customWidth="1"/>
    <col min="2311" max="2311" width="7.85546875" style="4" customWidth="1"/>
    <col min="2312" max="2313" width="7.140625" style="4" customWidth="1"/>
    <col min="2314" max="2314" width="9.5703125" style="4" bestFit="1" customWidth="1"/>
    <col min="2315" max="2315" width="9.7109375" style="4" customWidth="1"/>
    <col min="2316" max="2316" width="8.42578125" style="4" customWidth="1"/>
    <col min="2317" max="2317" width="6" style="4" customWidth="1"/>
    <col min="2318" max="2318" width="6.85546875" style="4" customWidth="1"/>
    <col min="2319" max="2319" width="8.140625" style="4" customWidth="1"/>
    <col min="2320" max="2320" width="9.7109375" style="4" customWidth="1"/>
    <col min="2321" max="2321" width="8" style="4" customWidth="1"/>
    <col min="2322" max="2323" width="6.85546875" style="4" customWidth="1"/>
    <col min="2324" max="2324" width="8.42578125" style="4" customWidth="1"/>
    <col min="2325" max="2325" width="11.140625" style="4" customWidth="1"/>
    <col min="2326" max="2326" width="8.5703125" style="4" customWidth="1"/>
    <col min="2327" max="2327" width="7.5703125" style="4" customWidth="1"/>
    <col min="2328" max="2328" width="10.5703125" style="4" bestFit="1" customWidth="1"/>
    <col min="2329" max="2329" width="27.42578125" style="4" customWidth="1"/>
    <col min="2330" max="2560" width="9.140625" style="4"/>
    <col min="2561" max="2561" width="11.28515625" style="4" customWidth="1"/>
    <col min="2562" max="2562" width="6" style="4" customWidth="1"/>
    <col min="2563" max="2563" width="10.7109375" style="4" customWidth="1"/>
    <col min="2564" max="2564" width="6.85546875" style="4" customWidth="1"/>
    <col min="2565" max="2566" width="5.85546875" style="4" customWidth="1"/>
    <col min="2567" max="2567" width="7.85546875" style="4" customWidth="1"/>
    <col min="2568" max="2569" width="7.140625" style="4" customWidth="1"/>
    <col min="2570" max="2570" width="9.5703125" style="4" bestFit="1" customWidth="1"/>
    <col min="2571" max="2571" width="9.7109375" style="4" customWidth="1"/>
    <col min="2572" max="2572" width="8.42578125" style="4" customWidth="1"/>
    <col min="2573" max="2573" width="6" style="4" customWidth="1"/>
    <col min="2574" max="2574" width="6.85546875" style="4" customWidth="1"/>
    <col min="2575" max="2575" width="8.140625" style="4" customWidth="1"/>
    <col min="2576" max="2576" width="9.7109375" style="4" customWidth="1"/>
    <col min="2577" max="2577" width="8" style="4" customWidth="1"/>
    <col min="2578" max="2579" width="6.85546875" style="4" customWidth="1"/>
    <col min="2580" max="2580" width="8.42578125" style="4" customWidth="1"/>
    <col min="2581" max="2581" width="11.140625" style="4" customWidth="1"/>
    <col min="2582" max="2582" width="8.5703125" style="4" customWidth="1"/>
    <col min="2583" max="2583" width="7.5703125" style="4" customWidth="1"/>
    <col min="2584" max="2584" width="10.5703125" style="4" bestFit="1" customWidth="1"/>
    <col min="2585" max="2585" width="27.42578125" style="4" customWidth="1"/>
    <col min="2586" max="2816" width="9.140625" style="4"/>
    <col min="2817" max="2817" width="11.28515625" style="4" customWidth="1"/>
    <col min="2818" max="2818" width="6" style="4" customWidth="1"/>
    <col min="2819" max="2819" width="10.7109375" style="4" customWidth="1"/>
    <col min="2820" max="2820" width="6.85546875" style="4" customWidth="1"/>
    <col min="2821" max="2822" width="5.85546875" style="4" customWidth="1"/>
    <col min="2823" max="2823" width="7.85546875" style="4" customWidth="1"/>
    <col min="2824" max="2825" width="7.140625" style="4" customWidth="1"/>
    <col min="2826" max="2826" width="9.5703125" style="4" bestFit="1" customWidth="1"/>
    <col min="2827" max="2827" width="9.7109375" style="4" customWidth="1"/>
    <col min="2828" max="2828" width="8.42578125" style="4" customWidth="1"/>
    <col min="2829" max="2829" width="6" style="4" customWidth="1"/>
    <col min="2830" max="2830" width="6.85546875" style="4" customWidth="1"/>
    <col min="2831" max="2831" width="8.140625" style="4" customWidth="1"/>
    <col min="2832" max="2832" width="9.7109375" style="4" customWidth="1"/>
    <col min="2833" max="2833" width="8" style="4" customWidth="1"/>
    <col min="2834" max="2835" width="6.85546875" style="4" customWidth="1"/>
    <col min="2836" max="2836" width="8.42578125" style="4" customWidth="1"/>
    <col min="2837" max="2837" width="11.140625" style="4" customWidth="1"/>
    <col min="2838" max="2838" width="8.5703125" style="4" customWidth="1"/>
    <col min="2839" max="2839" width="7.5703125" style="4" customWidth="1"/>
    <col min="2840" max="2840" width="10.5703125" style="4" bestFit="1" customWidth="1"/>
    <col min="2841" max="2841" width="27.42578125" style="4" customWidth="1"/>
    <col min="2842" max="3072" width="9.140625" style="4"/>
    <col min="3073" max="3073" width="11.28515625" style="4" customWidth="1"/>
    <col min="3074" max="3074" width="6" style="4" customWidth="1"/>
    <col min="3075" max="3075" width="10.7109375" style="4" customWidth="1"/>
    <col min="3076" max="3076" width="6.85546875" style="4" customWidth="1"/>
    <col min="3077" max="3078" width="5.85546875" style="4" customWidth="1"/>
    <col min="3079" max="3079" width="7.85546875" style="4" customWidth="1"/>
    <col min="3080" max="3081" width="7.140625" style="4" customWidth="1"/>
    <col min="3082" max="3082" width="9.5703125" style="4" bestFit="1" customWidth="1"/>
    <col min="3083" max="3083" width="9.7109375" style="4" customWidth="1"/>
    <col min="3084" max="3084" width="8.42578125" style="4" customWidth="1"/>
    <col min="3085" max="3085" width="6" style="4" customWidth="1"/>
    <col min="3086" max="3086" width="6.85546875" style="4" customWidth="1"/>
    <col min="3087" max="3087" width="8.140625" style="4" customWidth="1"/>
    <col min="3088" max="3088" width="9.7109375" style="4" customWidth="1"/>
    <col min="3089" max="3089" width="8" style="4" customWidth="1"/>
    <col min="3090" max="3091" width="6.85546875" style="4" customWidth="1"/>
    <col min="3092" max="3092" width="8.42578125" style="4" customWidth="1"/>
    <col min="3093" max="3093" width="11.140625" style="4" customWidth="1"/>
    <col min="3094" max="3094" width="8.5703125" style="4" customWidth="1"/>
    <col min="3095" max="3095" width="7.5703125" style="4" customWidth="1"/>
    <col min="3096" max="3096" width="10.5703125" style="4" bestFit="1" customWidth="1"/>
    <col min="3097" max="3097" width="27.42578125" style="4" customWidth="1"/>
    <col min="3098" max="3328" width="9.140625" style="4"/>
    <col min="3329" max="3329" width="11.28515625" style="4" customWidth="1"/>
    <col min="3330" max="3330" width="6" style="4" customWidth="1"/>
    <col min="3331" max="3331" width="10.7109375" style="4" customWidth="1"/>
    <col min="3332" max="3332" width="6.85546875" style="4" customWidth="1"/>
    <col min="3333" max="3334" width="5.85546875" style="4" customWidth="1"/>
    <col min="3335" max="3335" width="7.85546875" style="4" customWidth="1"/>
    <col min="3336" max="3337" width="7.140625" style="4" customWidth="1"/>
    <col min="3338" max="3338" width="9.5703125" style="4" bestFit="1" customWidth="1"/>
    <col min="3339" max="3339" width="9.7109375" style="4" customWidth="1"/>
    <col min="3340" max="3340" width="8.42578125" style="4" customWidth="1"/>
    <col min="3341" max="3341" width="6" style="4" customWidth="1"/>
    <col min="3342" max="3342" width="6.85546875" style="4" customWidth="1"/>
    <col min="3343" max="3343" width="8.140625" style="4" customWidth="1"/>
    <col min="3344" max="3344" width="9.7109375" style="4" customWidth="1"/>
    <col min="3345" max="3345" width="8" style="4" customWidth="1"/>
    <col min="3346" max="3347" width="6.85546875" style="4" customWidth="1"/>
    <col min="3348" max="3348" width="8.42578125" style="4" customWidth="1"/>
    <col min="3349" max="3349" width="11.140625" style="4" customWidth="1"/>
    <col min="3350" max="3350" width="8.5703125" style="4" customWidth="1"/>
    <col min="3351" max="3351" width="7.5703125" style="4" customWidth="1"/>
    <col min="3352" max="3352" width="10.5703125" style="4" bestFit="1" customWidth="1"/>
    <col min="3353" max="3353" width="27.42578125" style="4" customWidth="1"/>
    <col min="3354" max="3584" width="9.140625" style="4"/>
    <col min="3585" max="3585" width="11.28515625" style="4" customWidth="1"/>
    <col min="3586" max="3586" width="6" style="4" customWidth="1"/>
    <col min="3587" max="3587" width="10.7109375" style="4" customWidth="1"/>
    <col min="3588" max="3588" width="6.85546875" style="4" customWidth="1"/>
    <col min="3589" max="3590" width="5.85546875" style="4" customWidth="1"/>
    <col min="3591" max="3591" width="7.85546875" style="4" customWidth="1"/>
    <col min="3592" max="3593" width="7.140625" style="4" customWidth="1"/>
    <col min="3594" max="3594" width="9.5703125" style="4" bestFit="1" customWidth="1"/>
    <col min="3595" max="3595" width="9.7109375" style="4" customWidth="1"/>
    <col min="3596" max="3596" width="8.42578125" style="4" customWidth="1"/>
    <col min="3597" max="3597" width="6" style="4" customWidth="1"/>
    <col min="3598" max="3598" width="6.85546875" style="4" customWidth="1"/>
    <col min="3599" max="3599" width="8.140625" style="4" customWidth="1"/>
    <col min="3600" max="3600" width="9.7109375" style="4" customWidth="1"/>
    <col min="3601" max="3601" width="8" style="4" customWidth="1"/>
    <col min="3602" max="3603" width="6.85546875" style="4" customWidth="1"/>
    <col min="3604" max="3604" width="8.42578125" style="4" customWidth="1"/>
    <col min="3605" max="3605" width="11.140625" style="4" customWidth="1"/>
    <col min="3606" max="3606" width="8.5703125" style="4" customWidth="1"/>
    <col min="3607" max="3607" width="7.5703125" style="4" customWidth="1"/>
    <col min="3608" max="3608" width="10.5703125" style="4" bestFit="1" customWidth="1"/>
    <col min="3609" max="3609" width="27.42578125" style="4" customWidth="1"/>
    <col min="3610" max="3840" width="9.140625" style="4"/>
    <col min="3841" max="3841" width="11.28515625" style="4" customWidth="1"/>
    <col min="3842" max="3842" width="6" style="4" customWidth="1"/>
    <col min="3843" max="3843" width="10.7109375" style="4" customWidth="1"/>
    <col min="3844" max="3844" width="6.85546875" style="4" customWidth="1"/>
    <col min="3845" max="3846" width="5.85546875" style="4" customWidth="1"/>
    <col min="3847" max="3847" width="7.85546875" style="4" customWidth="1"/>
    <col min="3848" max="3849" width="7.140625" style="4" customWidth="1"/>
    <col min="3850" max="3850" width="9.5703125" style="4" bestFit="1" customWidth="1"/>
    <col min="3851" max="3851" width="9.7109375" style="4" customWidth="1"/>
    <col min="3852" max="3852" width="8.42578125" style="4" customWidth="1"/>
    <col min="3853" max="3853" width="6" style="4" customWidth="1"/>
    <col min="3854" max="3854" width="6.85546875" style="4" customWidth="1"/>
    <col min="3855" max="3855" width="8.140625" style="4" customWidth="1"/>
    <col min="3856" max="3856" width="9.7109375" style="4" customWidth="1"/>
    <col min="3857" max="3857" width="8" style="4" customWidth="1"/>
    <col min="3858" max="3859" width="6.85546875" style="4" customWidth="1"/>
    <col min="3860" max="3860" width="8.42578125" style="4" customWidth="1"/>
    <col min="3861" max="3861" width="11.140625" style="4" customWidth="1"/>
    <col min="3862" max="3862" width="8.5703125" style="4" customWidth="1"/>
    <col min="3863" max="3863" width="7.5703125" style="4" customWidth="1"/>
    <col min="3864" max="3864" width="10.5703125" style="4" bestFit="1" customWidth="1"/>
    <col min="3865" max="3865" width="27.42578125" style="4" customWidth="1"/>
    <col min="3866" max="4096" width="9.140625" style="4"/>
    <col min="4097" max="4097" width="11.28515625" style="4" customWidth="1"/>
    <col min="4098" max="4098" width="6" style="4" customWidth="1"/>
    <col min="4099" max="4099" width="10.7109375" style="4" customWidth="1"/>
    <col min="4100" max="4100" width="6.85546875" style="4" customWidth="1"/>
    <col min="4101" max="4102" width="5.85546875" style="4" customWidth="1"/>
    <col min="4103" max="4103" width="7.85546875" style="4" customWidth="1"/>
    <col min="4104" max="4105" width="7.140625" style="4" customWidth="1"/>
    <col min="4106" max="4106" width="9.5703125" style="4" bestFit="1" customWidth="1"/>
    <col min="4107" max="4107" width="9.7109375" style="4" customWidth="1"/>
    <col min="4108" max="4108" width="8.42578125" style="4" customWidth="1"/>
    <col min="4109" max="4109" width="6" style="4" customWidth="1"/>
    <col min="4110" max="4110" width="6.85546875" style="4" customWidth="1"/>
    <col min="4111" max="4111" width="8.140625" style="4" customWidth="1"/>
    <col min="4112" max="4112" width="9.7109375" style="4" customWidth="1"/>
    <col min="4113" max="4113" width="8" style="4" customWidth="1"/>
    <col min="4114" max="4115" width="6.85546875" style="4" customWidth="1"/>
    <col min="4116" max="4116" width="8.42578125" style="4" customWidth="1"/>
    <col min="4117" max="4117" width="11.140625" style="4" customWidth="1"/>
    <col min="4118" max="4118" width="8.5703125" style="4" customWidth="1"/>
    <col min="4119" max="4119" width="7.5703125" style="4" customWidth="1"/>
    <col min="4120" max="4120" width="10.5703125" style="4" bestFit="1" customWidth="1"/>
    <col min="4121" max="4121" width="27.42578125" style="4" customWidth="1"/>
    <col min="4122" max="4352" width="9.140625" style="4"/>
    <col min="4353" max="4353" width="11.28515625" style="4" customWidth="1"/>
    <col min="4354" max="4354" width="6" style="4" customWidth="1"/>
    <col min="4355" max="4355" width="10.7109375" style="4" customWidth="1"/>
    <col min="4356" max="4356" width="6.85546875" style="4" customWidth="1"/>
    <col min="4357" max="4358" width="5.85546875" style="4" customWidth="1"/>
    <col min="4359" max="4359" width="7.85546875" style="4" customWidth="1"/>
    <col min="4360" max="4361" width="7.140625" style="4" customWidth="1"/>
    <col min="4362" max="4362" width="9.5703125" style="4" bestFit="1" customWidth="1"/>
    <col min="4363" max="4363" width="9.7109375" style="4" customWidth="1"/>
    <col min="4364" max="4364" width="8.42578125" style="4" customWidth="1"/>
    <col min="4365" max="4365" width="6" style="4" customWidth="1"/>
    <col min="4366" max="4366" width="6.85546875" style="4" customWidth="1"/>
    <col min="4367" max="4367" width="8.140625" style="4" customWidth="1"/>
    <col min="4368" max="4368" width="9.7109375" style="4" customWidth="1"/>
    <col min="4369" max="4369" width="8" style="4" customWidth="1"/>
    <col min="4370" max="4371" width="6.85546875" style="4" customWidth="1"/>
    <col min="4372" max="4372" width="8.42578125" style="4" customWidth="1"/>
    <col min="4373" max="4373" width="11.140625" style="4" customWidth="1"/>
    <col min="4374" max="4374" width="8.5703125" style="4" customWidth="1"/>
    <col min="4375" max="4375" width="7.5703125" style="4" customWidth="1"/>
    <col min="4376" max="4376" width="10.5703125" style="4" bestFit="1" customWidth="1"/>
    <col min="4377" max="4377" width="27.42578125" style="4" customWidth="1"/>
    <col min="4378" max="4608" width="9.140625" style="4"/>
    <col min="4609" max="4609" width="11.28515625" style="4" customWidth="1"/>
    <col min="4610" max="4610" width="6" style="4" customWidth="1"/>
    <col min="4611" max="4611" width="10.7109375" style="4" customWidth="1"/>
    <col min="4612" max="4612" width="6.85546875" style="4" customWidth="1"/>
    <col min="4613" max="4614" width="5.85546875" style="4" customWidth="1"/>
    <col min="4615" max="4615" width="7.85546875" style="4" customWidth="1"/>
    <col min="4616" max="4617" width="7.140625" style="4" customWidth="1"/>
    <col min="4618" max="4618" width="9.5703125" style="4" bestFit="1" customWidth="1"/>
    <col min="4619" max="4619" width="9.7109375" style="4" customWidth="1"/>
    <col min="4620" max="4620" width="8.42578125" style="4" customWidth="1"/>
    <col min="4621" max="4621" width="6" style="4" customWidth="1"/>
    <col min="4622" max="4622" width="6.85546875" style="4" customWidth="1"/>
    <col min="4623" max="4623" width="8.140625" style="4" customWidth="1"/>
    <col min="4624" max="4624" width="9.7109375" style="4" customWidth="1"/>
    <col min="4625" max="4625" width="8" style="4" customWidth="1"/>
    <col min="4626" max="4627" width="6.85546875" style="4" customWidth="1"/>
    <col min="4628" max="4628" width="8.42578125" style="4" customWidth="1"/>
    <col min="4629" max="4629" width="11.140625" style="4" customWidth="1"/>
    <col min="4630" max="4630" width="8.5703125" style="4" customWidth="1"/>
    <col min="4631" max="4631" width="7.5703125" style="4" customWidth="1"/>
    <col min="4632" max="4632" width="10.5703125" style="4" bestFit="1" customWidth="1"/>
    <col min="4633" max="4633" width="27.42578125" style="4" customWidth="1"/>
    <col min="4634" max="4864" width="9.140625" style="4"/>
    <col min="4865" max="4865" width="11.28515625" style="4" customWidth="1"/>
    <col min="4866" max="4866" width="6" style="4" customWidth="1"/>
    <col min="4867" max="4867" width="10.7109375" style="4" customWidth="1"/>
    <col min="4868" max="4868" width="6.85546875" style="4" customWidth="1"/>
    <col min="4869" max="4870" width="5.85546875" style="4" customWidth="1"/>
    <col min="4871" max="4871" width="7.85546875" style="4" customWidth="1"/>
    <col min="4872" max="4873" width="7.140625" style="4" customWidth="1"/>
    <col min="4874" max="4874" width="9.5703125" style="4" bestFit="1" customWidth="1"/>
    <col min="4875" max="4875" width="9.7109375" style="4" customWidth="1"/>
    <col min="4876" max="4876" width="8.42578125" style="4" customWidth="1"/>
    <col min="4877" max="4877" width="6" style="4" customWidth="1"/>
    <col min="4878" max="4878" width="6.85546875" style="4" customWidth="1"/>
    <col min="4879" max="4879" width="8.140625" style="4" customWidth="1"/>
    <col min="4880" max="4880" width="9.7109375" style="4" customWidth="1"/>
    <col min="4881" max="4881" width="8" style="4" customWidth="1"/>
    <col min="4882" max="4883" width="6.85546875" style="4" customWidth="1"/>
    <col min="4884" max="4884" width="8.42578125" style="4" customWidth="1"/>
    <col min="4885" max="4885" width="11.140625" style="4" customWidth="1"/>
    <col min="4886" max="4886" width="8.5703125" style="4" customWidth="1"/>
    <col min="4887" max="4887" width="7.5703125" style="4" customWidth="1"/>
    <col min="4888" max="4888" width="10.5703125" style="4" bestFit="1" customWidth="1"/>
    <col min="4889" max="4889" width="27.42578125" style="4" customWidth="1"/>
    <col min="4890" max="5120" width="9.140625" style="4"/>
    <col min="5121" max="5121" width="11.28515625" style="4" customWidth="1"/>
    <col min="5122" max="5122" width="6" style="4" customWidth="1"/>
    <col min="5123" max="5123" width="10.7109375" style="4" customWidth="1"/>
    <col min="5124" max="5124" width="6.85546875" style="4" customWidth="1"/>
    <col min="5125" max="5126" width="5.85546875" style="4" customWidth="1"/>
    <col min="5127" max="5127" width="7.85546875" style="4" customWidth="1"/>
    <col min="5128" max="5129" width="7.140625" style="4" customWidth="1"/>
    <col min="5130" max="5130" width="9.5703125" style="4" bestFit="1" customWidth="1"/>
    <col min="5131" max="5131" width="9.7109375" style="4" customWidth="1"/>
    <col min="5132" max="5132" width="8.42578125" style="4" customWidth="1"/>
    <col min="5133" max="5133" width="6" style="4" customWidth="1"/>
    <col min="5134" max="5134" width="6.85546875" style="4" customWidth="1"/>
    <col min="5135" max="5135" width="8.140625" style="4" customWidth="1"/>
    <col min="5136" max="5136" width="9.7109375" style="4" customWidth="1"/>
    <col min="5137" max="5137" width="8" style="4" customWidth="1"/>
    <col min="5138" max="5139" width="6.85546875" style="4" customWidth="1"/>
    <col min="5140" max="5140" width="8.42578125" style="4" customWidth="1"/>
    <col min="5141" max="5141" width="11.140625" style="4" customWidth="1"/>
    <col min="5142" max="5142" width="8.5703125" style="4" customWidth="1"/>
    <col min="5143" max="5143" width="7.5703125" style="4" customWidth="1"/>
    <col min="5144" max="5144" width="10.5703125" style="4" bestFit="1" customWidth="1"/>
    <col min="5145" max="5145" width="27.42578125" style="4" customWidth="1"/>
    <col min="5146" max="5376" width="9.140625" style="4"/>
    <col min="5377" max="5377" width="11.28515625" style="4" customWidth="1"/>
    <col min="5378" max="5378" width="6" style="4" customWidth="1"/>
    <col min="5379" max="5379" width="10.7109375" style="4" customWidth="1"/>
    <col min="5380" max="5380" width="6.85546875" style="4" customWidth="1"/>
    <col min="5381" max="5382" width="5.85546875" style="4" customWidth="1"/>
    <col min="5383" max="5383" width="7.85546875" style="4" customWidth="1"/>
    <col min="5384" max="5385" width="7.140625" style="4" customWidth="1"/>
    <col min="5386" max="5386" width="9.5703125" style="4" bestFit="1" customWidth="1"/>
    <col min="5387" max="5387" width="9.7109375" style="4" customWidth="1"/>
    <col min="5388" max="5388" width="8.42578125" style="4" customWidth="1"/>
    <col min="5389" max="5389" width="6" style="4" customWidth="1"/>
    <col min="5390" max="5390" width="6.85546875" style="4" customWidth="1"/>
    <col min="5391" max="5391" width="8.140625" style="4" customWidth="1"/>
    <col min="5392" max="5392" width="9.7109375" style="4" customWidth="1"/>
    <col min="5393" max="5393" width="8" style="4" customWidth="1"/>
    <col min="5394" max="5395" width="6.85546875" style="4" customWidth="1"/>
    <col min="5396" max="5396" width="8.42578125" style="4" customWidth="1"/>
    <col min="5397" max="5397" width="11.140625" style="4" customWidth="1"/>
    <col min="5398" max="5398" width="8.5703125" style="4" customWidth="1"/>
    <col min="5399" max="5399" width="7.5703125" style="4" customWidth="1"/>
    <col min="5400" max="5400" width="10.5703125" style="4" bestFit="1" customWidth="1"/>
    <col min="5401" max="5401" width="27.42578125" style="4" customWidth="1"/>
    <col min="5402" max="5632" width="9.140625" style="4"/>
    <col min="5633" max="5633" width="11.28515625" style="4" customWidth="1"/>
    <col min="5634" max="5634" width="6" style="4" customWidth="1"/>
    <col min="5635" max="5635" width="10.7109375" style="4" customWidth="1"/>
    <col min="5636" max="5636" width="6.85546875" style="4" customWidth="1"/>
    <col min="5637" max="5638" width="5.85546875" style="4" customWidth="1"/>
    <col min="5639" max="5639" width="7.85546875" style="4" customWidth="1"/>
    <col min="5640" max="5641" width="7.140625" style="4" customWidth="1"/>
    <col min="5642" max="5642" width="9.5703125" style="4" bestFit="1" customWidth="1"/>
    <col min="5643" max="5643" width="9.7109375" style="4" customWidth="1"/>
    <col min="5644" max="5644" width="8.42578125" style="4" customWidth="1"/>
    <col min="5645" max="5645" width="6" style="4" customWidth="1"/>
    <col min="5646" max="5646" width="6.85546875" style="4" customWidth="1"/>
    <col min="5647" max="5647" width="8.140625" style="4" customWidth="1"/>
    <col min="5648" max="5648" width="9.7109375" style="4" customWidth="1"/>
    <col min="5649" max="5649" width="8" style="4" customWidth="1"/>
    <col min="5650" max="5651" width="6.85546875" style="4" customWidth="1"/>
    <col min="5652" max="5652" width="8.42578125" style="4" customWidth="1"/>
    <col min="5653" max="5653" width="11.140625" style="4" customWidth="1"/>
    <col min="5654" max="5654" width="8.5703125" style="4" customWidth="1"/>
    <col min="5655" max="5655" width="7.5703125" style="4" customWidth="1"/>
    <col min="5656" max="5656" width="10.5703125" style="4" bestFit="1" customWidth="1"/>
    <col min="5657" max="5657" width="27.42578125" style="4" customWidth="1"/>
    <col min="5658" max="5888" width="9.140625" style="4"/>
    <col min="5889" max="5889" width="11.28515625" style="4" customWidth="1"/>
    <col min="5890" max="5890" width="6" style="4" customWidth="1"/>
    <col min="5891" max="5891" width="10.7109375" style="4" customWidth="1"/>
    <col min="5892" max="5892" width="6.85546875" style="4" customWidth="1"/>
    <col min="5893" max="5894" width="5.85546875" style="4" customWidth="1"/>
    <col min="5895" max="5895" width="7.85546875" style="4" customWidth="1"/>
    <col min="5896" max="5897" width="7.140625" style="4" customWidth="1"/>
    <col min="5898" max="5898" width="9.5703125" style="4" bestFit="1" customWidth="1"/>
    <col min="5899" max="5899" width="9.7109375" style="4" customWidth="1"/>
    <col min="5900" max="5900" width="8.42578125" style="4" customWidth="1"/>
    <col min="5901" max="5901" width="6" style="4" customWidth="1"/>
    <col min="5902" max="5902" width="6.85546875" style="4" customWidth="1"/>
    <col min="5903" max="5903" width="8.140625" style="4" customWidth="1"/>
    <col min="5904" max="5904" width="9.7109375" style="4" customWidth="1"/>
    <col min="5905" max="5905" width="8" style="4" customWidth="1"/>
    <col min="5906" max="5907" width="6.85546875" style="4" customWidth="1"/>
    <col min="5908" max="5908" width="8.42578125" style="4" customWidth="1"/>
    <col min="5909" max="5909" width="11.140625" style="4" customWidth="1"/>
    <col min="5910" max="5910" width="8.5703125" style="4" customWidth="1"/>
    <col min="5911" max="5911" width="7.5703125" style="4" customWidth="1"/>
    <col min="5912" max="5912" width="10.5703125" style="4" bestFit="1" customWidth="1"/>
    <col min="5913" max="5913" width="27.42578125" style="4" customWidth="1"/>
    <col min="5914" max="6144" width="9.140625" style="4"/>
    <col min="6145" max="6145" width="11.28515625" style="4" customWidth="1"/>
    <col min="6146" max="6146" width="6" style="4" customWidth="1"/>
    <col min="6147" max="6147" width="10.7109375" style="4" customWidth="1"/>
    <col min="6148" max="6148" width="6.85546875" style="4" customWidth="1"/>
    <col min="6149" max="6150" width="5.85546875" style="4" customWidth="1"/>
    <col min="6151" max="6151" width="7.85546875" style="4" customWidth="1"/>
    <col min="6152" max="6153" width="7.140625" style="4" customWidth="1"/>
    <col min="6154" max="6154" width="9.5703125" style="4" bestFit="1" customWidth="1"/>
    <col min="6155" max="6155" width="9.7109375" style="4" customWidth="1"/>
    <col min="6156" max="6156" width="8.42578125" style="4" customWidth="1"/>
    <col min="6157" max="6157" width="6" style="4" customWidth="1"/>
    <col min="6158" max="6158" width="6.85546875" style="4" customWidth="1"/>
    <col min="6159" max="6159" width="8.140625" style="4" customWidth="1"/>
    <col min="6160" max="6160" width="9.7109375" style="4" customWidth="1"/>
    <col min="6161" max="6161" width="8" style="4" customWidth="1"/>
    <col min="6162" max="6163" width="6.85546875" style="4" customWidth="1"/>
    <col min="6164" max="6164" width="8.42578125" style="4" customWidth="1"/>
    <col min="6165" max="6165" width="11.140625" style="4" customWidth="1"/>
    <col min="6166" max="6166" width="8.5703125" style="4" customWidth="1"/>
    <col min="6167" max="6167" width="7.5703125" style="4" customWidth="1"/>
    <col min="6168" max="6168" width="10.5703125" style="4" bestFit="1" customWidth="1"/>
    <col min="6169" max="6169" width="27.42578125" style="4" customWidth="1"/>
    <col min="6170" max="6400" width="9.140625" style="4"/>
    <col min="6401" max="6401" width="11.28515625" style="4" customWidth="1"/>
    <col min="6402" max="6402" width="6" style="4" customWidth="1"/>
    <col min="6403" max="6403" width="10.7109375" style="4" customWidth="1"/>
    <col min="6404" max="6404" width="6.85546875" style="4" customWidth="1"/>
    <col min="6405" max="6406" width="5.85546875" style="4" customWidth="1"/>
    <col min="6407" max="6407" width="7.85546875" style="4" customWidth="1"/>
    <col min="6408" max="6409" width="7.140625" style="4" customWidth="1"/>
    <col min="6410" max="6410" width="9.5703125" style="4" bestFit="1" customWidth="1"/>
    <col min="6411" max="6411" width="9.7109375" style="4" customWidth="1"/>
    <col min="6412" max="6412" width="8.42578125" style="4" customWidth="1"/>
    <col min="6413" max="6413" width="6" style="4" customWidth="1"/>
    <col min="6414" max="6414" width="6.85546875" style="4" customWidth="1"/>
    <col min="6415" max="6415" width="8.140625" style="4" customWidth="1"/>
    <col min="6416" max="6416" width="9.7109375" style="4" customWidth="1"/>
    <col min="6417" max="6417" width="8" style="4" customWidth="1"/>
    <col min="6418" max="6419" width="6.85546875" style="4" customWidth="1"/>
    <col min="6420" max="6420" width="8.42578125" style="4" customWidth="1"/>
    <col min="6421" max="6421" width="11.140625" style="4" customWidth="1"/>
    <col min="6422" max="6422" width="8.5703125" style="4" customWidth="1"/>
    <col min="6423" max="6423" width="7.5703125" style="4" customWidth="1"/>
    <col min="6424" max="6424" width="10.5703125" style="4" bestFit="1" customWidth="1"/>
    <col min="6425" max="6425" width="27.42578125" style="4" customWidth="1"/>
    <col min="6426" max="6656" width="9.140625" style="4"/>
    <col min="6657" max="6657" width="11.28515625" style="4" customWidth="1"/>
    <col min="6658" max="6658" width="6" style="4" customWidth="1"/>
    <col min="6659" max="6659" width="10.7109375" style="4" customWidth="1"/>
    <col min="6660" max="6660" width="6.85546875" style="4" customWidth="1"/>
    <col min="6661" max="6662" width="5.85546875" style="4" customWidth="1"/>
    <col min="6663" max="6663" width="7.85546875" style="4" customWidth="1"/>
    <col min="6664" max="6665" width="7.140625" style="4" customWidth="1"/>
    <col min="6666" max="6666" width="9.5703125" style="4" bestFit="1" customWidth="1"/>
    <col min="6667" max="6667" width="9.7109375" style="4" customWidth="1"/>
    <col min="6668" max="6668" width="8.42578125" style="4" customWidth="1"/>
    <col min="6669" max="6669" width="6" style="4" customWidth="1"/>
    <col min="6670" max="6670" width="6.85546875" style="4" customWidth="1"/>
    <col min="6671" max="6671" width="8.140625" style="4" customWidth="1"/>
    <col min="6672" max="6672" width="9.7109375" style="4" customWidth="1"/>
    <col min="6673" max="6673" width="8" style="4" customWidth="1"/>
    <col min="6674" max="6675" width="6.85546875" style="4" customWidth="1"/>
    <col min="6676" max="6676" width="8.42578125" style="4" customWidth="1"/>
    <col min="6677" max="6677" width="11.140625" style="4" customWidth="1"/>
    <col min="6678" max="6678" width="8.5703125" style="4" customWidth="1"/>
    <col min="6679" max="6679" width="7.5703125" style="4" customWidth="1"/>
    <col min="6680" max="6680" width="10.5703125" style="4" bestFit="1" customWidth="1"/>
    <col min="6681" max="6681" width="27.42578125" style="4" customWidth="1"/>
    <col min="6682" max="6912" width="9.140625" style="4"/>
    <col min="6913" max="6913" width="11.28515625" style="4" customWidth="1"/>
    <col min="6914" max="6914" width="6" style="4" customWidth="1"/>
    <col min="6915" max="6915" width="10.7109375" style="4" customWidth="1"/>
    <col min="6916" max="6916" width="6.85546875" style="4" customWidth="1"/>
    <col min="6917" max="6918" width="5.85546875" style="4" customWidth="1"/>
    <col min="6919" max="6919" width="7.85546875" style="4" customWidth="1"/>
    <col min="6920" max="6921" width="7.140625" style="4" customWidth="1"/>
    <col min="6922" max="6922" width="9.5703125" style="4" bestFit="1" customWidth="1"/>
    <col min="6923" max="6923" width="9.7109375" style="4" customWidth="1"/>
    <col min="6924" max="6924" width="8.42578125" style="4" customWidth="1"/>
    <col min="6925" max="6925" width="6" style="4" customWidth="1"/>
    <col min="6926" max="6926" width="6.85546875" style="4" customWidth="1"/>
    <col min="6927" max="6927" width="8.140625" style="4" customWidth="1"/>
    <col min="6928" max="6928" width="9.7109375" style="4" customWidth="1"/>
    <col min="6929" max="6929" width="8" style="4" customWidth="1"/>
    <col min="6930" max="6931" width="6.85546875" style="4" customWidth="1"/>
    <col min="6932" max="6932" width="8.42578125" style="4" customWidth="1"/>
    <col min="6933" max="6933" width="11.140625" style="4" customWidth="1"/>
    <col min="6934" max="6934" width="8.5703125" style="4" customWidth="1"/>
    <col min="6935" max="6935" width="7.5703125" style="4" customWidth="1"/>
    <col min="6936" max="6936" width="10.5703125" style="4" bestFit="1" customWidth="1"/>
    <col min="6937" max="6937" width="27.42578125" style="4" customWidth="1"/>
    <col min="6938" max="7168" width="9.140625" style="4"/>
    <col min="7169" max="7169" width="11.28515625" style="4" customWidth="1"/>
    <col min="7170" max="7170" width="6" style="4" customWidth="1"/>
    <col min="7171" max="7171" width="10.7109375" style="4" customWidth="1"/>
    <col min="7172" max="7172" width="6.85546875" style="4" customWidth="1"/>
    <col min="7173" max="7174" width="5.85546875" style="4" customWidth="1"/>
    <col min="7175" max="7175" width="7.85546875" style="4" customWidth="1"/>
    <col min="7176" max="7177" width="7.140625" style="4" customWidth="1"/>
    <col min="7178" max="7178" width="9.5703125" style="4" bestFit="1" customWidth="1"/>
    <col min="7179" max="7179" width="9.7109375" style="4" customWidth="1"/>
    <col min="7180" max="7180" width="8.42578125" style="4" customWidth="1"/>
    <col min="7181" max="7181" width="6" style="4" customWidth="1"/>
    <col min="7182" max="7182" width="6.85546875" style="4" customWidth="1"/>
    <col min="7183" max="7183" width="8.140625" style="4" customWidth="1"/>
    <col min="7184" max="7184" width="9.7109375" style="4" customWidth="1"/>
    <col min="7185" max="7185" width="8" style="4" customWidth="1"/>
    <col min="7186" max="7187" width="6.85546875" style="4" customWidth="1"/>
    <col min="7188" max="7188" width="8.42578125" style="4" customWidth="1"/>
    <col min="7189" max="7189" width="11.140625" style="4" customWidth="1"/>
    <col min="7190" max="7190" width="8.5703125" style="4" customWidth="1"/>
    <col min="7191" max="7191" width="7.5703125" style="4" customWidth="1"/>
    <col min="7192" max="7192" width="10.5703125" style="4" bestFit="1" customWidth="1"/>
    <col min="7193" max="7193" width="27.42578125" style="4" customWidth="1"/>
    <col min="7194" max="7424" width="9.140625" style="4"/>
    <col min="7425" max="7425" width="11.28515625" style="4" customWidth="1"/>
    <col min="7426" max="7426" width="6" style="4" customWidth="1"/>
    <col min="7427" max="7427" width="10.7109375" style="4" customWidth="1"/>
    <col min="7428" max="7428" width="6.85546875" style="4" customWidth="1"/>
    <col min="7429" max="7430" width="5.85546875" style="4" customWidth="1"/>
    <col min="7431" max="7431" width="7.85546875" style="4" customWidth="1"/>
    <col min="7432" max="7433" width="7.140625" style="4" customWidth="1"/>
    <col min="7434" max="7434" width="9.5703125" style="4" bestFit="1" customWidth="1"/>
    <col min="7435" max="7435" width="9.7109375" style="4" customWidth="1"/>
    <col min="7436" max="7436" width="8.42578125" style="4" customWidth="1"/>
    <col min="7437" max="7437" width="6" style="4" customWidth="1"/>
    <col min="7438" max="7438" width="6.85546875" style="4" customWidth="1"/>
    <col min="7439" max="7439" width="8.140625" style="4" customWidth="1"/>
    <col min="7440" max="7440" width="9.7109375" style="4" customWidth="1"/>
    <col min="7441" max="7441" width="8" style="4" customWidth="1"/>
    <col min="7442" max="7443" width="6.85546875" style="4" customWidth="1"/>
    <col min="7444" max="7444" width="8.42578125" style="4" customWidth="1"/>
    <col min="7445" max="7445" width="11.140625" style="4" customWidth="1"/>
    <col min="7446" max="7446" width="8.5703125" style="4" customWidth="1"/>
    <col min="7447" max="7447" width="7.5703125" style="4" customWidth="1"/>
    <col min="7448" max="7448" width="10.5703125" style="4" bestFit="1" customWidth="1"/>
    <col min="7449" max="7449" width="27.42578125" style="4" customWidth="1"/>
    <col min="7450" max="7680" width="9.140625" style="4"/>
    <col min="7681" max="7681" width="11.28515625" style="4" customWidth="1"/>
    <col min="7682" max="7682" width="6" style="4" customWidth="1"/>
    <col min="7683" max="7683" width="10.7109375" style="4" customWidth="1"/>
    <col min="7684" max="7684" width="6.85546875" style="4" customWidth="1"/>
    <col min="7685" max="7686" width="5.85546875" style="4" customWidth="1"/>
    <col min="7687" max="7687" width="7.85546875" style="4" customWidth="1"/>
    <col min="7688" max="7689" width="7.140625" style="4" customWidth="1"/>
    <col min="7690" max="7690" width="9.5703125" style="4" bestFit="1" customWidth="1"/>
    <col min="7691" max="7691" width="9.7109375" style="4" customWidth="1"/>
    <col min="7692" max="7692" width="8.42578125" style="4" customWidth="1"/>
    <col min="7693" max="7693" width="6" style="4" customWidth="1"/>
    <col min="7694" max="7694" width="6.85546875" style="4" customWidth="1"/>
    <col min="7695" max="7695" width="8.140625" style="4" customWidth="1"/>
    <col min="7696" max="7696" width="9.7109375" style="4" customWidth="1"/>
    <col min="7697" max="7697" width="8" style="4" customWidth="1"/>
    <col min="7698" max="7699" width="6.85546875" style="4" customWidth="1"/>
    <col min="7700" max="7700" width="8.42578125" style="4" customWidth="1"/>
    <col min="7701" max="7701" width="11.140625" style="4" customWidth="1"/>
    <col min="7702" max="7702" width="8.5703125" style="4" customWidth="1"/>
    <col min="7703" max="7703" width="7.5703125" style="4" customWidth="1"/>
    <col min="7704" max="7704" width="10.5703125" style="4" bestFit="1" customWidth="1"/>
    <col min="7705" max="7705" width="27.42578125" style="4" customWidth="1"/>
    <col min="7706" max="7936" width="9.140625" style="4"/>
    <col min="7937" max="7937" width="11.28515625" style="4" customWidth="1"/>
    <col min="7938" max="7938" width="6" style="4" customWidth="1"/>
    <col min="7939" max="7939" width="10.7109375" style="4" customWidth="1"/>
    <col min="7940" max="7940" width="6.85546875" style="4" customWidth="1"/>
    <col min="7941" max="7942" width="5.85546875" style="4" customWidth="1"/>
    <col min="7943" max="7943" width="7.85546875" style="4" customWidth="1"/>
    <col min="7944" max="7945" width="7.140625" style="4" customWidth="1"/>
    <col min="7946" max="7946" width="9.5703125" style="4" bestFit="1" customWidth="1"/>
    <col min="7947" max="7947" width="9.7109375" style="4" customWidth="1"/>
    <col min="7948" max="7948" width="8.42578125" style="4" customWidth="1"/>
    <col min="7949" max="7949" width="6" style="4" customWidth="1"/>
    <col min="7950" max="7950" width="6.85546875" style="4" customWidth="1"/>
    <col min="7951" max="7951" width="8.140625" style="4" customWidth="1"/>
    <col min="7952" max="7952" width="9.7109375" style="4" customWidth="1"/>
    <col min="7953" max="7953" width="8" style="4" customWidth="1"/>
    <col min="7954" max="7955" width="6.85546875" style="4" customWidth="1"/>
    <col min="7956" max="7956" width="8.42578125" style="4" customWidth="1"/>
    <col min="7957" max="7957" width="11.140625" style="4" customWidth="1"/>
    <col min="7958" max="7958" width="8.5703125" style="4" customWidth="1"/>
    <col min="7959" max="7959" width="7.5703125" style="4" customWidth="1"/>
    <col min="7960" max="7960" width="10.5703125" style="4" bestFit="1" customWidth="1"/>
    <col min="7961" max="7961" width="27.42578125" style="4" customWidth="1"/>
    <col min="7962" max="8192" width="9.140625" style="4"/>
    <col min="8193" max="8193" width="11.28515625" style="4" customWidth="1"/>
    <col min="8194" max="8194" width="6" style="4" customWidth="1"/>
    <col min="8195" max="8195" width="10.7109375" style="4" customWidth="1"/>
    <col min="8196" max="8196" width="6.85546875" style="4" customWidth="1"/>
    <col min="8197" max="8198" width="5.85546875" style="4" customWidth="1"/>
    <col min="8199" max="8199" width="7.85546875" style="4" customWidth="1"/>
    <col min="8200" max="8201" width="7.140625" style="4" customWidth="1"/>
    <col min="8202" max="8202" width="9.5703125" style="4" bestFit="1" customWidth="1"/>
    <col min="8203" max="8203" width="9.7109375" style="4" customWidth="1"/>
    <col min="8204" max="8204" width="8.42578125" style="4" customWidth="1"/>
    <col min="8205" max="8205" width="6" style="4" customWidth="1"/>
    <col min="8206" max="8206" width="6.85546875" style="4" customWidth="1"/>
    <col min="8207" max="8207" width="8.140625" style="4" customWidth="1"/>
    <col min="8208" max="8208" width="9.7109375" style="4" customWidth="1"/>
    <col min="8209" max="8209" width="8" style="4" customWidth="1"/>
    <col min="8210" max="8211" width="6.85546875" style="4" customWidth="1"/>
    <col min="8212" max="8212" width="8.42578125" style="4" customWidth="1"/>
    <col min="8213" max="8213" width="11.140625" style="4" customWidth="1"/>
    <col min="8214" max="8214" width="8.5703125" style="4" customWidth="1"/>
    <col min="8215" max="8215" width="7.5703125" style="4" customWidth="1"/>
    <col min="8216" max="8216" width="10.5703125" style="4" bestFit="1" customWidth="1"/>
    <col min="8217" max="8217" width="27.42578125" style="4" customWidth="1"/>
    <col min="8218" max="8448" width="9.140625" style="4"/>
    <col min="8449" max="8449" width="11.28515625" style="4" customWidth="1"/>
    <col min="8450" max="8450" width="6" style="4" customWidth="1"/>
    <col min="8451" max="8451" width="10.7109375" style="4" customWidth="1"/>
    <col min="8452" max="8452" width="6.85546875" style="4" customWidth="1"/>
    <col min="8453" max="8454" width="5.85546875" style="4" customWidth="1"/>
    <col min="8455" max="8455" width="7.85546875" style="4" customWidth="1"/>
    <col min="8456" max="8457" width="7.140625" style="4" customWidth="1"/>
    <col min="8458" max="8458" width="9.5703125" style="4" bestFit="1" customWidth="1"/>
    <col min="8459" max="8459" width="9.7109375" style="4" customWidth="1"/>
    <col min="8460" max="8460" width="8.42578125" style="4" customWidth="1"/>
    <col min="8461" max="8461" width="6" style="4" customWidth="1"/>
    <col min="8462" max="8462" width="6.85546875" style="4" customWidth="1"/>
    <col min="8463" max="8463" width="8.140625" style="4" customWidth="1"/>
    <col min="8464" max="8464" width="9.7109375" style="4" customWidth="1"/>
    <col min="8465" max="8465" width="8" style="4" customWidth="1"/>
    <col min="8466" max="8467" width="6.85546875" style="4" customWidth="1"/>
    <col min="8468" max="8468" width="8.42578125" style="4" customWidth="1"/>
    <col min="8469" max="8469" width="11.140625" style="4" customWidth="1"/>
    <col min="8470" max="8470" width="8.5703125" style="4" customWidth="1"/>
    <col min="8471" max="8471" width="7.5703125" style="4" customWidth="1"/>
    <col min="8472" max="8472" width="10.5703125" style="4" bestFit="1" customWidth="1"/>
    <col min="8473" max="8473" width="27.42578125" style="4" customWidth="1"/>
    <col min="8474" max="8704" width="9.140625" style="4"/>
    <col min="8705" max="8705" width="11.28515625" style="4" customWidth="1"/>
    <col min="8706" max="8706" width="6" style="4" customWidth="1"/>
    <col min="8707" max="8707" width="10.7109375" style="4" customWidth="1"/>
    <col min="8708" max="8708" width="6.85546875" style="4" customWidth="1"/>
    <col min="8709" max="8710" width="5.85546875" style="4" customWidth="1"/>
    <col min="8711" max="8711" width="7.85546875" style="4" customWidth="1"/>
    <col min="8712" max="8713" width="7.140625" style="4" customWidth="1"/>
    <col min="8714" max="8714" width="9.5703125" style="4" bestFit="1" customWidth="1"/>
    <col min="8715" max="8715" width="9.7109375" style="4" customWidth="1"/>
    <col min="8716" max="8716" width="8.42578125" style="4" customWidth="1"/>
    <col min="8717" max="8717" width="6" style="4" customWidth="1"/>
    <col min="8718" max="8718" width="6.85546875" style="4" customWidth="1"/>
    <col min="8719" max="8719" width="8.140625" style="4" customWidth="1"/>
    <col min="8720" max="8720" width="9.7109375" style="4" customWidth="1"/>
    <col min="8721" max="8721" width="8" style="4" customWidth="1"/>
    <col min="8722" max="8723" width="6.85546875" style="4" customWidth="1"/>
    <col min="8724" max="8724" width="8.42578125" style="4" customWidth="1"/>
    <col min="8725" max="8725" width="11.140625" style="4" customWidth="1"/>
    <col min="8726" max="8726" width="8.5703125" style="4" customWidth="1"/>
    <col min="8727" max="8727" width="7.5703125" style="4" customWidth="1"/>
    <col min="8728" max="8728" width="10.5703125" style="4" bestFit="1" customWidth="1"/>
    <col min="8729" max="8729" width="27.42578125" style="4" customWidth="1"/>
    <col min="8730" max="8960" width="9.140625" style="4"/>
    <col min="8961" max="8961" width="11.28515625" style="4" customWidth="1"/>
    <col min="8962" max="8962" width="6" style="4" customWidth="1"/>
    <col min="8963" max="8963" width="10.7109375" style="4" customWidth="1"/>
    <col min="8964" max="8964" width="6.85546875" style="4" customWidth="1"/>
    <col min="8965" max="8966" width="5.85546875" style="4" customWidth="1"/>
    <col min="8967" max="8967" width="7.85546875" style="4" customWidth="1"/>
    <col min="8968" max="8969" width="7.140625" style="4" customWidth="1"/>
    <col min="8970" max="8970" width="9.5703125" style="4" bestFit="1" customWidth="1"/>
    <col min="8971" max="8971" width="9.7109375" style="4" customWidth="1"/>
    <col min="8972" max="8972" width="8.42578125" style="4" customWidth="1"/>
    <col min="8973" max="8973" width="6" style="4" customWidth="1"/>
    <col min="8974" max="8974" width="6.85546875" style="4" customWidth="1"/>
    <col min="8975" max="8975" width="8.140625" style="4" customWidth="1"/>
    <col min="8976" max="8976" width="9.7109375" style="4" customWidth="1"/>
    <col min="8977" max="8977" width="8" style="4" customWidth="1"/>
    <col min="8978" max="8979" width="6.85546875" style="4" customWidth="1"/>
    <col min="8980" max="8980" width="8.42578125" style="4" customWidth="1"/>
    <col min="8981" max="8981" width="11.140625" style="4" customWidth="1"/>
    <col min="8982" max="8982" width="8.5703125" style="4" customWidth="1"/>
    <col min="8983" max="8983" width="7.5703125" style="4" customWidth="1"/>
    <col min="8984" max="8984" width="10.5703125" style="4" bestFit="1" customWidth="1"/>
    <col min="8985" max="8985" width="27.42578125" style="4" customWidth="1"/>
    <col min="8986" max="9216" width="9.140625" style="4"/>
    <col min="9217" max="9217" width="11.28515625" style="4" customWidth="1"/>
    <col min="9218" max="9218" width="6" style="4" customWidth="1"/>
    <col min="9219" max="9219" width="10.7109375" style="4" customWidth="1"/>
    <col min="9220" max="9220" width="6.85546875" style="4" customWidth="1"/>
    <col min="9221" max="9222" width="5.85546875" style="4" customWidth="1"/>
    <col min="9223" max="9223" width="7.85546875" style="4" customWidth="1"/>
    <col min="9224" max="9225" width="7.140625" style="4" customWidth="1"/>
    <col min="9226" max="9226" width="9.5703125" style="4" bestFit="1" customWidth="1"/>
    <col min="9227" max="9227" width="9.7109375" style="4" customWidth="1"/>
    <col min="9228" max="9228" width="8.42578125" style="4" customWidth="1"/>
    <col min="9229" max="9229" width="6" style="4" customWidth="1"/>
    <col min="9230" max="9230" width="6.85546875" style="4" customWidth="1"/>
    <col min="9231" max="9231" width="8.140625" style="4" customWidth="1"/>
    <col min="9232" max="9232" width="9.7109375" style="4" customWidth="1"/>
    <col min="9233" max="9233" width="8" style="4" customWidth="1"/>
    <col min="9234" max="9235" width="6.85546875" style="4" customWidth="1"/>
    <col min="9236" max="9236" width="8.42578125" style="4" customWidth="1"/>
    <col min="9237" max="9237" width="11.140625" style="4" customWidth="1"/>
    <col min="9238" max="9238" width="8.5703125" style="4" customWidth="1"/>
    <col min="9239" max="9239" width="7.5703125" style="4" customWidth="1"/>
    <col min="9240" max="9240" width="10.5703125" style="4" bestFit="1" customWidth="1"/>
    <col min="9241" max="9241" width="27.42578125" style="4" customWidth="1"/>
    <col min="9242" max="9472" width="9.140625" style="4"/>
    <col min="9473" max="9473" width="11.28515625" style="4" customWidth="1"/>
    <col min="9474" max="9474" width="6" style="4" customWidth="1"/>
    <col min="9475" max="9475" width="10.7109375" style="4" customWidth="1"/>
    <col min="9476" max="9476" width="6.85546875" style="4" customWidth="1"/>
    <col min="9477" max="9478" width="5.85546875" style="4" customWidth="1"/>
    <col min="9479" max="9479" width="7.85546875" style="4" customWidth="1"/>
    <col min="9480" max="9481" width="7.140625" style="4" customWidth="1"/>
    <col min="9482" max="9482" width="9.5703125" style="4" bestFit="1" customWidth="1"/>
    <col min="9483" max="9483" width="9.7109375" style="4" customWidth="1"/>
    <col min="9484" max="9484" width="8.42578125" style="4" customWidth="1"/>
    <col min="9485" max="9485" width="6" style="4" customWidth="1"/>
    <col min="9486" max="9486" width="6.85546875" style="4" customWidth="1"/>
    <col min="9487" max="9487" width="8.140625" style="4" customWidth="1"/>
    <col min="9488" max="9488" width="9.7109375" style="4" customWidth="1"/>
    <col min="9489" max="9489" width="8" style="4" customWidth="1"/>
    <col min="9490" max="9491" width="6.85546875" style="4" customWidth="1"/>
    <col min="9492" max="9492" width="8.42578125" style="4" customWidth="1"/>
    <col min="9493" max="9493" width="11.140625" style="4" customWidth="1"/>
    <col min="9494" max="9494" width="8.5703125" style="4" customWidth="1"/>
    <col min="9495" max="9495" width="7.5703125" style="4" customWidth="1"/>
    <col min="9496" max="9496" width="10.5703125" style="4" bestFit="1" customWidth="1"/>
    <col min="9497" max="9497" width="27.42578125" style="4" customWidth="1"/>
    <col min="9498" max="9728" width="9.140625" style="4"/>
    <col min="9729" max="9729" width="11.28515625" style="4" customWidth="1"/>
    <col min="9730" max="9730" width="6" style="4" customWidth="1"/>
    <col min="9731" max="9731" width="10.7109375" style="4" customWidth="1"/>
    <col min="9732" max="9732" width="6.85546875" style="4" customWidth="1"/>
    <col min="9733" max="9734" width="5.85546875" style="4" customWidth="1"/>
    <col min="9735" max="9735" width="7.85546875" style="4" customWidth="1"/>
    <col min="9736" max="9737" width="7.140625" style="4" customWidth="1"/>
    <col min="9738" max="9738" width="9.5703125" style="4" bestFit="1" customWidth="1"/>
    <col min="9739" max="9739" width="9.7109375" style="4" customWidth="1"/>
    <col min="9740" max="9740" width="8.42578125" style="4" customWidth="1"/>
    <col min="9741" max="9741" width="6" style="4" customWidth="1"/>
    <col min="9742" max="9742" width="6.85546875" style="4" customWidth="1"/>
    <col min="9743" max="9743" width="8.140625" style="4" customWidth="1"/>
    <col min="9744" max="9744" width="9.7109375" style="4" customWidth="1"/>
    <col min="9745" max="9745" width="8" style="4" customWidth="1"/>
    <col min="9746" max="9747" width="6.85546875" style="4" customWidth="1"/>
    <col min="9748" max="9748" width="8.42578125" style="4" customWidth="1"/>
    <col min="9749" max="9749" width="11.140625" style="4" customWidth="1"/>
    <col min="9750" max="9750" width="8.5703125" style="4" customWidth="1"/>
    <col min="9751" max="9751" width="7.5703125" style="4" customWidth="1"/>
    <col min="9752" max="9752" width="10.5703125" style="4" bestFit="1" customWidth="1"/>
    <col min="9753" max="9753" width="27.42578125" style="4" customWidth="1"/>
    <col min="9754" max="9984" width="9.140625" style="4"/>
    <col min="9985" max="9985" width="11.28515625" style="4" customWidth="1"/>
    <col min="9986" max="9986" width="6" style="4" customWidth="1"/>
    <col min="9987" max="9987" width="10.7109375" style="4" customWidth="1"/>
    <col min="9988" max="9988" width="6.85546875" style="4" customWidth="1"/>
    <col min="9989" max="9990" width="5.85546875" style="4" customWidth="1"/>
    <col min="9991" max="9991" width="7.85546875" style="4" customWidth="1"/>
    <col min="9992" max="9993" width="7.140625" style="4" customWidth="1"/>
    <col min="9994" max="9994" width="9.5703125" style="4" bestFit="1" customWidth="1"/>
    <col min="9995" max="9995" width="9.7109375" style="4" customWidth="1"/>
    <col min="9996" max="9996" width="8.42578125" style="4" customWidth="1"/>
    <col min="9997" max="9997" width="6" style="4" customWidth="1"/>
    <col min="9998" max="9998" width="6.85546875" style="4" customWidth="1"/>
    <col min="9999" max="9999" width="8.140625" style="4" customWidth="1"/>
    <col min="10000" max="10000" width="9.7109375" style="4" customWidth="1"/>
    <col min="10001" max="10001" width="8" style="4" customWidth="1"/>
    <col min="10002" max="10003" width="6.85546875" style="4" customWidth="1"/>
    <col min="10004" max="10004" width="8.42578125" style="4" customWidth="1"/>
    <col min="10005" max="10005" width="11.140625" style="4" customWidth="1"/>
    <col min="10006" max="10006" width="8.5703125" style="4" customWidth="1"/>
    <col min="10007" max="10007" width="7.5703125" style="4" customWidth="1"/>
    <col min="10008" max="10008" width="10.5703125" style="4" bestFit="1" customWidth="1"/>
    <col min="10009" max="10009" width="27.42578125" style="4" customWidth="1"/>
    <col min="10010" max="10240" width="9.140625" style="4"/>
    <col min="10241" max="10241" width="11.28515625" style="4" customWidth="1"/>
    <col min="10242" max="10242" width="6" style="4" customWidth="1"/>
    <col min="10243" max="10243" width="10.7109375" style="4" customWidth="1"/>
    <col min="10244" max="10244" width="6.85546875" style="4" customWidth="1"/>
    <col min="10245" max="10246" width="5.85546875" style="4" customWidth="1"/>
    <col min="10247" max="10247" width="7.85546875" style="4" customWidth="1"/>
    <col min="10248" max="10249" width="7.140625" style="4" customWidth="1"/>
    <col min="10250" max="10250" width="9.5703125" style="4" bestFit="1" customWidth="1"/>
    <col min="10251" max="10251" width="9.7109375" style="4" customWidth="1"/>
    <col min="10252" max="10252" width="8.42578125" style="4" customWidth="1"/>
    <col min="10253" max="10253" width="6" style="4" customWidth="1"/>
    <col min="10254" max="10254" width="6.85546875" style="4" customWidth="1"/>
    <col min="10255" max="10255" width="8.140625" style="4" customWidth="1"/>
    <col min="10256" max="10256" width="9.7109375" style="4" customWidth="1"/>
    <col min="10257" max="10257" width="8" style="4" customWidth="1"/>
    <col min="10258" max="10259" width="6.85546875" style="4" customWidth="1"/>
    <col min="10260" max="10260" width="8.42578125" style="4" customWidth="1"/>
    <col min="10261" max="10261" width="11.140625" style="4" customWidth="1"/>
    <col min="10262" max="10262" width="8.5703125" style="4" customWidth="1"/>
    <col min="10263" max="10263" width="7.5703125" style="4" customWidth="1"/>
    <col min="10264" max="10264" width="10.5703125" style="4" bestFit="1" customWidth="1"/>
    <col min="10265" max="10265" width="27.42578125" style="4" customWidth="1"/>
    <col min="10266" max="10496" width="9.140625" style="4"/>
    <col min="10497" max="10497" width="11.28515625" style="4" customWidth="1"/>
    <col min="10498" max="10498" width="6" style="4" customWidth="1"/>
    <col min="10499" max="10499" width="10.7109375" style="4" customWidth="1"/>
    <col min="10500" max="10500" width="6.85546875" style="4" customWidth="1"/>
    <col min="10501" max="10502" width="5.85546875" style="4" customWidth="1"/>
    <col min="10503" max="10503" width="7.85546875" style="4" customWidth="1"/>
    <col min="10504" max="10505" width="7.140625" style="4" customWidth="1"/>
    <col min="10506" max="10506" width="9.5703125" style="4" bestFit="1" customWidth="1"/>
    <col min="10507" max="10507" width="9.7109375" style="4" customWidth="1"/>
    <col min="10508" max="10508" width="8.42578125" style="4" customWidth="1"/>
    <col min="10509" max="10509" width="6" style="4" customWidth="1"/>
    <col min="10510" max="10510" width="6.85546875" style="4" customWidth="1"/>
    <col min="10511" max="10511" width="8.140625" style="4" customWidth="1"/>
    <col min="10512" max="10512" width="9.7109375" style="4" customWidth="1"/>
    <col min="10513" max="10513" width="8" style="4" customWidth="1"/>
    <col min="10514" max="10515" width="6.85546875" style="4" customWidth="1"/>
    <col min="10516" max="10516" width="8.42578125" style="4" customWidth="1"/>
    <col min="10517" max="10517" width="11.140625" style="4" customWidth="1"/>
    <col min="10518" max="10518" width="8.5703125" style="4" customWidth="1"/>
    <col min="10519" max="10519" width="7.5703125" style="4" customWidth="1"/>
    <col min="10520" max="10520" width="10.5703125" style="4" bestFit="1" customWidth="1"/>
    <col min="10521" max="10521" width="27.42578125" style="4" customWidth="1"/>
    <col min="10522" max="10752" width="9.140625" style="4"/>
    <col min="10753" max="10753" width="11.28515625" style="4" customWidth="1"/>
    <col min="10754" max="10754" width="6" style="4" customWidth="1"/>
    <col min="10755" max="10755" width="10.7109375" style="4" customWidth="1"/>
    <col min="10756" max="10756" width="6.85546875" style="4" customWidth="1"/>
    <col min="10757" max="10758" width="5.85546875" style="4" customWidth="1"/>
    <col min="10759" max="10759" width="7.85546875" style="4" customWidth="1"/>
    <col min="10760" max="10761" width="7.140625" style="4" customWidth="1"/>
    <col min="10762" max="10762" width="9.5703125" style="4" bestFit="1" customWidth="1"/>
    <col min="10763" max="10763" width="9.7109375" style="4" customWidth="1"/>
    <col min="10764" max="10764" width="8.42578125" style="4" customWidth="1"/>
    <col min="10765" max="10765" width="6" style="4" customWidth="1"/>
    <col min="10766" max="10766" width="6.85546875" style="4" customWidth="1"/>
    <col min="10767" max="10767" width="8.140625" style="4" customWidth="1"/>
    <col min="10768" max="10768" width="9.7109375" style="4" customWidth="1"/>
    <col min="10769" max="10769" width="8" style="4" customWidth="1"/>
    <col min="10770" max="10771" width="6.85546875" style="4" customWidth="1"/>
    <col min="10772" max="10772" width="8.42578125" style="4" customWidth="1"/>
    <col min="10773" max="10773" width="11.140625" style="4" customWidth="1"/>
    <col min="10774" max="10774" width="8.5703125" style="4" customWidth="1"/>
    <col min="10775" max="10775" width="7.5703125" style="4" customWidth="1"/>
    <col min="10776" max="10776" width="10.5703125" style="4" bestFit="1" customWidth="1"/>
    <col min="10777" max="10777" width="27.42578125" style="4" customWidth="1"/>
    <col min="10778" max="11008" width="9.140625" style="4"/>
    <col min="11009" max="11009" width="11.28515625" style="4" customWidth="1"/>
    <col min="11010" max="11010" width="6" style="4" customWidth="1"/>
    <col min="11011" max="11011" width="10.7109375" style="4" customWidth="1"/>
    <col min="11012" max="11012" width="6.85546875" style="4" customWidth="1"/>
    <col min="11013" max="11014" width="5.85546875" style="4" customWidth="1"/>
    <col min="11015" max="11015" width="7.85546875" style="4" customWidth="1"/>
    <col min="11016" max="11017" width="7.140625" style="4" customWidth="1"/>
    <col min="11018" max="11018" width="9.5703125" style="4" bestFit="1" customWidth="1"/>
    <col min="11019" max="11019" width="9.7109375" style="4" customWidth="1"/>
    <col min="11020" max="11020" width="8.42578125" style="4" customWidth="1"/>
    <col min="11021" max="11021" width="6" style="4" customWidth="1"/>
    <col min="11022" max="11022" width="6.85546875" style="4" customWidth="1"/>
    <col min="11023" max="11023" width="8.140625" style="4" customWidth="1"/>
    <col min="11024" max="11024" width="9.7109375" style="4" customWidth="1"/>
    <col min="11025" max="11025" width="8" style="4" customWidth="1"/>
    <col min="11026" max="11027" width="6.85546875" style="4" customWidth="1"/>
    <col min="11028" max="11028" width="8.42578125" style="4" customWidth="1"/>
    <col min="11029" max="11029" width="11.140625" style="4" customWidth="1"/>
    <col min="11030" max="11030" width="8.5703125" style="4" customWidth="1"/>
    <col min="11031" max="11031" width="7.5703125" style="4" customWidth="1"/>
    <col min="11032" max="11032" width="10.5703125" style="4" bestFit="1" customWidth="1"/>
    <col min="11033" max="11033" width="27.42578125" style="4" customWidth="1"/>
    <col min="11034" max="11264" width="9.140625" style="4"/>
    <col min="11265" max="11265" width="11.28515625" style="4" customWidth="1"/>
    <col min="11266" max="11266" width="6" style="4" customWidth="1"/>
    <col min="11267" max="11267" width="10.7109375" style="4" customWidth="1"/>
    <col min="11268" max="11268" width="6.85546875" style="4" customWidth="1"/>
    <col min="11269" max="11270" width="5.85546875" style="4" customWidth="1"/>
    <col min="11271" max="11271" width="7.85546875" style="4" customWidth="1"/>
    <col min="11272" max="11273" width="7.140625" style="4" customWidth="1"/>
    <col min="11274" max="11274" width="9.5703125" style="4" bestFit="1" customWidth="1"/>
    <col min="11275" max="11275" width="9.7109375" style="4" customWidth="1"/>
    <col min="11276" max="11276" width="8.42578125" style="4" customWidth="1"/>
    <col min="11277" max="11277" width="6" style="4" customWidth="1"/>
    <col min="11278" max="11278" width="6.85546875" style="4" customWidth="1"/>
    <col min="11279" max="11279" width="8.140625" style="4" customWidth="1"/>
    <col min="11280" max="11280" width="9.7109375" style="4" customWidth="1"/>
    <col min="11281" max="11281" width="8" style="4" customWidth="1"/>
    <col min="11282" max="11283" width="6.85546875" style="4" customWidth="1"/>
    <col min="11284" max="11284" width="8.42578125" style="4" customWidth="1"/>
    <col min="11285" max="11285" width="11.140625" style="4" customWidth="1"/>
    <col min="11286" max="11286" width="8.5703125" style="4" customWidth="1"/>
    <col min="11287" max="11287" width="7.5703125" style="4" customWidth="1"/>
    <col min="11288" max="11288" width="10.5703125" style="4" bestFit="1" customWidth="1"/>
    <col min="11289" max="11289" width="27.42578125" style="4" customWidth="1"/>
    <col min="11290" max="11520" width="9.140625" style="4"/>
    <col min="11521" max="11521" width="11.28515625" style="4" customWidth="1"/>
    <col min="11522" max="11522" width="6" style="4" customWidth="1"/>
    <col min="11523" max="11523" width="10.7109375" style="4" customWidth="1"/>
    <col min="11524" max="11524" width="6.85546875" style="4" customWidth="1"/>
    <col min="11525" max="11526" width="5.85546875" style="4" customWidth="1"/>
    <col min="11527" max="11527" width="7.85546875" style="4" customWidth="1"/>
    <col min="11528" max="11529" width="7.140625" style="4" customWidth="1"/>
    <col min="11530" max="11530" width="9.5703125" style="4" bestFit="1" customWidth="1"/>
    <col min="11531" max="11531" width="9.7109375" style="4" customWidth="1"/>
    <col min="11532" max="11532" width="8.42578125" style="4" customWidth="1"/>
    <col min="11533" max="11533" width="6" style="4" customWidth="1"/>
    <col min="11534" max="11534" width="6.85546875" style="4" customWidth="1"/>
    <col min="11535" max="11535" width="8.140625" style="4" customWidth="1"/>
    <col min="11536" max="11536" width="9.7109375" style="4" customWidth="1"/>
    <col min="11537" max="11537" width="8" style="4" customWidth="1"/>
    <col min="11538" max="11539" width="6.85546875" style="4" customWidth="1"/>
    <col min="11540" max="11540" width="8.42578125" style="4" customWidth="1"/>
    <col min="11541" max="11541" width="11.140625" style="4" customWidth="1"/>
    <col min="11542" max="11542" width="8.5703125" style="4" customWidth="1"/>
    <col min="11543" max="11543" width="7.5703125" style="4" customWidth="1"/>
    <col min="11544" max="11544" width="10.5703125" style="4" bestFit="1" customWidth="1"/>
    <col min="11545" max="11545" width="27.42578125" style="4" customWidth="1"/>
    <col min="11546" max="11776" width="9.140625" style="4"/>
    <col min="11777" max="11777" width="11.28515625" style="4" customWidth="1"/>
    <col min="11778" max="11778" width="6" style="4" customWidth="1"/>
    <col min="11779" max="11779" width="10.7109375" style="4" customWidth="1"/>
    <col min="11780" max="11780" width="6.85546875" style="4" customWidth="1"/>
    <col min="11781" max="11782" width="5.85546875" style="4" customWidth="1"/>
    <col min="11783" max="11783" width="7.85546875" style="4" customWidth="1"/>
    <col min="11784" max="11785" width="7.140625" style="4" customWidth="1"/>
    <col min="11786" max="11786" width="9.5703125" style="4" bestFit="1" customWidth="1"/>
    <col min="11787" max="11787" width="9.7109375" style="4" customWidth="1"/>
    <col min="11788" max="11788" width="8.42578125" style="4" customWidth="1"/>
    <col min="11789" max="11789" width="6" style="4" customWidth="1"/>
    <col min="11790" max="11790" width="6.85546875" style="4" customWidth="1"/>
    <col min="11791" max="11791" width="8.140625" style="4" customWidth="1"/>
    <col min="11792" max="11792" width="9.7109375" style="4" customWidth="1"/>
    <col min="11793" max="11793" width="8" style="4" customWidth="1"/>
    <col min="11794" max="11795" width="6.85546875" style="4" customWidth="1"/>
    <col min="11796" max="11796" width="8.42578125" style="4" customWidth="1"/>
    <col min="11797" max="11797" width="11.140625" style="4" customWidth="1"/>
    <col min="11798" max="11798" width="8.5703125" style="4" customWidth="1"/>
    <col min="11799" max="11799" width="7.5703125" style="4" customWidth="1"/>
    <col min="11800" max="11800" width="10.5703125" style="4" bestFit="1" customWidth="1"/>
    <col min="11801" max="11801" width="27.42578125" style="4" customWidth="1"/>
    <col min="11802" max="12032" width="9.140625" style="4"/>
    <col min="12033" max="12033" width="11.28515625" style="4" customWidth="1"/>
    <col min="12034" max="12034" width="6" style="4" customWidth="1"/>
    <col min="12035" max="12035" width="10.7109375" style="4" customWidth="1"/>
    <col min="12036" max="12036" width="6.85546875" style="4" customWidth="1"/>
    <col min="12037" max="12038" width="5.85546875" style="4" customWidth="1"/>
    <col min="12039" max="12039" width="7.85546875" style="4" customWidth="1"/>
    <col min="12040" max="12041" width="7.140625" style="4" customWidth="1"/>
    <col min="12042" max="12042" width="9.5703125" style="4" bestFit="1" customWidth="1"/>
    <col min="12043" max="12043" width="9.7109375" style="4" customWidth="1"/>
    <col min="12044" max="12044" width="8.42578125" style="4" customWidth="1"/>
    <col min="12045" max="12045" width="6" style="4" customWidth="1"/>
    <col min="12046" max="12046" width="6.85546875" style="4" customWidth="1"/>
    <col min="12047" max="12047" width="8.140625" style="4" customWidth="1"/>
    <col min="12048" max="12048" width="9.7109375" style="4" customWidth="1"/>
    <col min="12049" max="12049" width="8" style="4" customWidth="1"/>
    <col min="12050" max="12051" width="6.85546875" style="4" customWidth="1"/>
    <col min="12052" max="12052" width="8.42578125" style="4" customWidth="1"/>
    <col min="12053" max="12053" width="11.140625" style="4" customWidth="1"/>
    <col min="12054" max="12054" width="8.5703125" style="4" customWidth="1"/>
    <col min="12055" max="12055" width="7.5703125" style="4" customWidth="1"/>
    <col min="12056" max="12056" width="10.5703125" style="4" bestFit="1" customWidth="1"/>
    <col min="12057" max="12057" width="27.42578125" style="4" customWidth="1"/>
    <col min="12058" max="12288" width="9.140625" style="4"/>
    <col min="12289" max="12289" width="11.28515625" style="4" customWidth="1"/>
    <col min="12290" max="12290" width="6" style="4" customWidth="1"/>
    <col min="12291" max="12291" width="10.7109375" style="4" customWidth="1"/>
    <col min="12292" max="12292" width="6.85546875" style="4" customWidth="1"/>
    <col min="12293" max="12294" width="5.85546875" style="4" customWidth="1"/>
    <col min="12295" max="12295" width="7.85546875" style="4" customWidth="1"/>
    <col min="12296" max="12297" width="7.140625" style="4" customWidth="1"/>
    <col min="12298" max="12298" width="9.5703125" style="4" bestFit="1" customWidth="1"/>
    <col min="12299" max="12299" width="9.7109375" style="4" customWidth="1"/>
    <col min="12300" max="12300" width="8.42578125" style="4" customWidth="1"/>
    <col min="12301" max="12301" width="6" style="4" customWidth="1"/>
    <col min="12302" max="12302" width="6.85546875" style="4" customWidth="1"/>
    <col min="12303" max="12303" width="8.140625" style="4" customWidth="1"/>
    <col min="12304" max="12304" width="9.7109375" style="4" customWidth="1"/>
    <col min="12305" max="12305" width="8" style="4" customWidth="1"/>
    <col min="12306" max="12307" width="6.85546875" style="4" customWidth="1"/>
    <col min="12308" max="12308" width="8.42578125" style="4" customWidth="1"/>
    <col min="12309" max="12309" width="11.140625" style="4" customWidth="1"/>
    <col min="12310" max="12310" width="8.5703125" style="4" customWidth="1"/>
    <col min="12311" max="12311" width="7.5703125" style="4" customWidth="1"/>
    <col min="12312" max="12312" width="10.5703125" style="4" bestFit="1" customWidth="1"/>
    <col min="12313" max="12313" width="27.42578125" style="4" customWidth="1"/>
    <col min="12314" max="12544" width="9.140625" style="4"/>
    <col min="12545" max="12545" width="11.28515625" style="4" customWidth="1"/>
    <col min="12546" max="12546" width="6" style="4" customWidth="1"/>
    <col min="12547" max="12547" width="10.7109375" style="4" customWidth="1"/>
    <col min="12548" max="12548" width="6.85546875" style="4" customWidth="1"/>
    <col min="12549" max="12550" width="5.85546875" style="4" customWidth="1"/>
    <col min="12551" max="12551" width="7.85546875" style="4" customWidth="1"/>
    <col min="12552" max="12553" width="7.140625" style="4" customWidth="1"/>
    <col min="12554" max="12554" width="9.5703125" style="4" bestFit="1" customWidth="1"/>
    <col min="12555" max="12555" width="9.7109375" style="4" customWidth="1"/>
    <col min="12556" max="12556" width="8.42578125" style="4" customWidth="1"/>
    <col min="12557" max="12557" width="6" style="4" customWidth="1"/>
    <col min="12558" max="12558" width="6.85546875" style="4" customWidth="1"/>
    <col min="12559" max="12559" width="8.140625" style="4" customWidth="1"/>
    <col min="12560" max="12560" width="9.7109375" style="4" customWidth="1"/>
    <col min="12561" max="12561" width="8" style="4" customWidth="1"/>
    <col min="12562" max="12563" width="6.85546875" style="4" customWidth="1"/>
    <col min="12564" max="12564" width="8.42578125" style="4" customWidth="1"/>
    <col min="12565" max="12565" width="11.140625" style="4" customWidth="1"/>
    <col min="12566" max="12566" width="8.5703125" style="4" customWidth="1"/>
    <col min="12567" max="12567" width="7.5703125" style="4" customWidth="1"/>
    <col min="12568" max="12568" width="10.5703125" style="4" bestFit="1" customWidth="1"/>
    <col min="12569" max="12569" width="27.42578125" style="4" customWidth="1"/>
    <col min="12570" max="12800" width="9.140625" style="4"/>
    <col min="12801" max="12801" width="11.28515625" style="4" customWidth="1"/>
    <col min="12802" max="12802" width="6" style="4" customWidth="1"/>
    <col min="12803" max="12803" width="10.7109375" style="4" customWidth="1"/>
    <col min="12804" max="12804" width="6.85546875" style="4" customWidth="1"/>
    <col min="12805" max="12806" width="5.85546875" style="4" customWidth="1"/>
    <col min="12807" max="12807" width="7.85546875" style="4" customWidth="1"/>
    <col min="12808" max="12809" width="7.140625" style="4" customWidth="1"/>
    <col min="12810" max="12810" width="9.5703125" style="4" bestFit="1" customWidth="1"/>
    <col min="12811" max="12811" width="9.7109375" style="4" customWidth="1"/>
    <col min="12812" max="12812" width="8.42578125" style="4" customWidth="1"/>
    <col min="12813" max="12813" width="6" style="4" customWidth="1"/>
    <col min="12814" max="12814" width="6.85546875" style="4" customWidth="1"/>
    <col min="12815" max="12815" width="8.140625" style="4" customWidth="1"/>
    <col min="12816" max="12816" width="9.7109375" style="4" customWidth="1"/>
    <col min="12817" max="12817" width="8" style="4" customWidth="1"/>
    <col min="12818" max="12819" width="6.85546875" style="4" customWidth="1"/>
    <col min="12820" max="12820" width="8.42578125" style="4" customWidth="1"/>
    <col min="12821" max="12821" width="11.140625" style="4" customWidth="1"/>
    <col min="12822" max="12822" width="8.5703125" style="4" customWidth="1"/>
    <col min="12823" max="12823" width="7.5703125" style="4" customWidth="1"/>
    <col min="12824" max="12824" width="10.5703125" style="4" bestFit="1" customWidth="1"/>
    <col min="12825" max="12825" width="27.42578125" style="4" customWidth="1"/>
    <col min="12826" max="13056" width="9.140625" style="4"/>
    <col min="13057" max="13057" width="11.28515625" style="4" customWidth="1"/>
    <col min="13058" max="13058" width="6" style="4" customWidth="1"/>
    <col min="13059" max="13059" width="10.7109375" style="4" customWidth="1"/>
    <col min="13060" max="13060" width="6.85546875" style="4" customWidth="1"/>
    <col min="13061" max="13062" width="5.85546875" style="4" customWidth="1"/>
    <col min="13063" max="13063" width="7.85546875" style="4" customWidth="1"/>
    <col min="13064" max="13065" width="7.140625" style="4" customWidth="1"/>
    <col min="13066" max="13066" width="9.5703125" style="4" bestFit="1" customWidth="1"/>
    <col min="13067" max="13067" width="9.7109375" style="4" customWidth="1"/>
    <col min="13068" max="13068" width="8.42578125" style="4" customWidth="1"/>
    <col min="13069" max="13069" width="6" style="4" customWidth="1"/>
    <col min="13070" max="13070" width="6.85546875" style="4" customWidth="1"/>
    <col min="13071" max="13071" width="8.140625" style="4" customWidth="1"/>
    <col min="13072" max="13072" width="9.7109375" style="4" customWidth="1"/>
    <col min="13073" max="13073" width="8" style="4" customWidth="1"/>
    <col min="13074" max="13075" width="6.85546875" style="4" customWidth="1"/>
    <col min="13076" max="13076" width="8.42578125" style="4" customWidth="1"/>
    <col min="13077" max="13077" width="11.140625" style="4" customWidth="1"/>
    <col min="13078" max="13078" width="8.5703125" style="4" customWidth="1"/>
    <col min="13079" max="13079" width="7.5703125" style="4" customWidth="1"/>
    <col min="13080" max="13080" width="10.5703125" style="4" bestFit="1" customWidth="1"/>
    <col min="13081" max="13081" width="27.42578125" style="4" customWidth="1"/>
    <col min="13082" max="13312" width="9.140625" style="4"/>
    <col min="13313" max="13313" width="11.28515625" style="4" customWidth="1"/>
    <col min="13314" max="13314" width="6" style="4" customWidth="1"/>
    <col min="13315" max="13315" width="10.7109375" style="4" customWidth="1"/>
    <col min="13316" max="13316" width="6.85546875" style="4" customWidth="1"/>
    <col min="13317" max="13318" width="5.85546875" style="4" customWidth="1"/>
    <col min="13319" max="13319" width="7.85546875" style="4" customWidth="1"/>
    <col min="13320" max="13321" width="7.140625" style="4" customWidth="1"/>
    <col min="13322" max="13322" width="9.5703125" style="4" bestFit="1" customWidth="1"/>
    <col min="13323" max="13323" width="9.7109375" style="4" customWidth="1"/>
    <col min="13324" max="13324" width="8.42578125" style="4" customWidth="1"/>
    <col min="13325" max="13325" width="6" style="4" customWidth="1"/>
    <col min="13326" max="13326" width="6.85546875" style="4" customWidth="1"/>
    <col min="13327" max="13327" width="8.140625" style="4" customWidth="1"/>
    <col min="13328" max="13328" width="9.7109375" style="4" customWidth="1"/>
    <col min="13329" max="13329" width="8" style="4" customWidth="1"/>
    <col min="13330" max="13331" width="6.85546875" style="4" customWidth="1"/>
    <col min="13332" max="13332" width="8.42578125" style="4" customWidth="1"/>
    <col min="13333" max="13333" width="11.140625" style="4" customWidth="1"/>
    <col min="13334" max="13334" width="8.5703125" style="4" customWidth="1"/>
    <col min="13335" max="13335" width="7.5703125" style="4" customWidth="1"/>
    <col min="13336" max="13336" width="10.5703125" style="4" bestFit="1" customWidth="1"/>
    <col min="13337" max="13337" width="27.42578125" style="4" customWidth="1"/>
    <col min="13338" max="13568" width="9.140625" style="4"/>
    <col min="13569" max="13569" width="11.28515625" style="4" customWidth="1"/>
    <col min="13570" max="13570" width="6" style="4" customWidth="1"/>
    <col min="13571" max="13571" width="10.7109375" style="4" customWidth="1"/>
    <col min="13572" max="13572" width="6.85546875" style="4" customWidth="1"/>
    <col min="13573" max="13574" width="5.85546875" style="4" customWidth="1"/>
    <col min="13575" max="13575" width="7.85546875" style="4" customWidth="1"/>
    <col min="13576" max="13577" width="7.140625" style="4" customWidth="1"/>
    <col min="13578" max="13578" width="9.5703125" style="4" bestFit="1" customWidth="1"/>
    <col min="13579" max="13579" width="9.7109375" style="4" customWidth="1"/>
    <col min="13580" max="13580" width="8.42578125" style="4" customWidth="1"/>
    <col min="13581" max="13581" width="6" style="4" customWidth="1"/>
    <col min="13582" max="13582" width="6.85546875" style="4" customWidth="1"/>
    <col min="13583" max="13583" width="8.140625" style="4" customWidth="1"/>
    <col min="13584" max="13584" width="9.7109375" style="4" customWidth="1"/>
    <col min="13585" max="13585" width="8" style="4" customWidth="1"/>
    <col min="13586" max="13587" width="6.85546875" style="4" customWidth="1"/>
    <col min="13588" max="13588" width="8.42578125" style="4" customWidth="1"/>
    <col min="13589" max="13589" width="11.140625" style="4" customWidth="1"/>
    <col min="13590" max="13590" width="8.5703125" style="4" customWidth="1"/>
    <col min="13591" max="13591" width="7.5703125" style="4" customWidth="1"/>
    <col min="13592" max="13592" width="10.5703125" style="4" bestFit="1" customWidth="1"/>
    <col min="13593" max="13593" width="27.42578125" style="4" customWidth="1"/>
    <col min="13594" max="13824" width="9.140625" style="4"/>
    <col min="13825" max="13825" width="11.28515625" style="4" customWidth="1"/>
    <col min="13826" max="13826" width="6" style="4" customWidth="1"/>
    <col min="13827" max="13827" width="10.7109375" style="4" customWidth="1"/>
    <col min="13828" max="13828" width="6.85546875" style="4" customWidth="1"/>
    <col min="13829" max="13830" width="5.85546875" style="4" customWidth="1"/>
    <col min="13831" max="13831" width="7.85546875" style="4" customWidth="1"/>
    <col min="13832" max="13833" width="7.140625" style="4" customWidth="1"/>
    <col min="13834" max="13834" width="9.5703125" style="4" bestFit="1" customWidth="1"/>
    <col min="13835" max="13835" width="9.7109375" style="4" customWidth="1"/>
    <col min="13836" max="13836" width="8.42578125" style="4" customWidth="1"/>
    <col min="13837" max="13837" width="6" style="4" customWidth="1"/>
    <col min="13838" max="13838" width="6.85546875" style="4" customWidth="1"/>
    <col min="13839" max="13839" width="8.140625" style="4" customWidth="1"/>
    <col min="13840" max="13840" width="9.7109375" style="4" customWidth="1"/>
    <col min="13841" max="13841" width="8" style="4" customWidth="1"/>
    <col min="13842" max="13843" width="6.85546875" style="4" customWidth="1"/>
    <col min="13844" max="13844" width="8.42578125" style="4" customWidth="1"/>
    <col min="13845" max="13845" width="11.140625" style="4" customWidth="1"/>
    <col min="13846" max="13846" width="8.5703125" style="4" customWidth="1"/>
    <col min="13847" max="13847" width="7.5703125" style="4" customWidth="1"/>
    <col min="13848" max="13848" width="10.5703125" style="4" bestFit="1" customWidth="1"/>
    <col min="13849" max="13849" width="27.42578125" style="4" customWidth="1"/>
    <col min="13850" max="14080" width="9.140625" style="4"/>
    <col min="14081" max="14081" width="11.28515625" style="4" customWidth="1"/>
    <col min="14082" max="14082" width="6" style="4" customWidth="1"/>
    <col min="14083" max="14083" width="10.7109375" style="4" customWidth="1"/>
    <col min="14084" max="14084" width="6.85546875" style="4" customWidth="1"/>
    <col min="14085" max="14086" width="5.85546875" style="4" customWidth="1"/>
    <col min="14087" max="14087" width="7.85546875" style="4" customWidth="1"/>
    <col min="14088" max="14089" width="7.140625" style="4" customWidth="1"/>
    <col min="14090" max="14090" width="9.5703125" style="4" bestFit="1" customWidth="1"/>
    <col min="14091" max="14091" width="9.7109375" style="4" customWidth="1"/>
    <col min="14092" max="14092" width="8.42578125" style="4" customWidth="1"/>
    <col min="14093" max="14093" width="6" style="4" customWidth="1"/>
    <col min="14094" max="14094" width="6.85546875" style="4" customWidth="1"/>
    <col min="14095" max="14095" width="8.140625" style="4" customWidth="1"/>
    <col min="14096" max="14096" width="9.7109375" style="4" customWidth="1"/>
    <col min="14097" max="14097" width="8" style="4" customWidth="1"/>
    <col min="14098" max="14099" width="6.85546875" style="4" customWidth="1"/>
    <col min="14100" max="14100" width="8.42578125" style="4" customWidth="1"/>
    <col min="14101" max="14101" width="11.140625" style="4" customWidth="1"/>
    <col min="14102" max="14102" width="8.5703125" style="4" customWidth="1"/>
    <col min="14103" max="14103" width="7.5703125" style="4" customWidth="1"/>
    <col min="14104" max="14104" width="10.5703125" style="4" bestFit="1" customWidth="1"/>
    <col min="14105" max="14105" width="27.42578125" style="4" customWidth="1"/>
    <col min="14106" max="14336" width="9.140625" style="4"/>
    <col min="14337" max="14337" width="11.28515625" style="4" customWidth="1"/>
    <col min="14338" max="14338" width="6" style="4" customWidth="1"/>
    <col min="14339" max="14339" width="10.7109375" style="4" customWidth="1"/>
    <col min="14340" max="14340" width="6.85546875" style="4" customWidth="1"/>
    <col min="14341" max="14342" width="5.85546875" style="4" customWidth="1"/>
    <col min="14343" max="14343" width="7.85546875" style="4" customWidth="1"/>
    <col min="14344" max="14345" width="7.140625" style="4" customWidth="1"/>
    <col min="14346" max="14346" width="9.5703125" style="4" bestFit="1" customWidth="1"/>
    <col min="14347" max="14347" width="9.7109375" style="4" customWidth="1"/>
    <col min="14348" max="14348" width="8.42578125" style="4" customWidth="1"/>
    <col min="14349" max="14349" width="6" style="4" customWidth="1"/>
    <col min="14350" max="14350" width="6.85546875" style="4" customWidth="1"/>
    <col min="14351" max="14351" width="8.140625" style="4" customWidth="1"/>
    <col min="14352" max="14352" width="9.7109375" style="4" customWidth="1"/>
    <col min="14353" max="14353" width="8" style="4" customWidth="1"/>
    <col min="14354" max="14355" width="6.85546875" style="4" customWidth="1"/>
    <col min="14356" max="14356" width="8.42578125" style="4" customWidth="1"/>
    <col min="14357" max="14357" width="11.140625" style="4" customWidth="1"/>
    <col min="14358" max="14358" width="8.5703125" style="4" customWidth="1"/>
    <col min="14359" max="14359" width="7.5703125" style="4" customWidth="1"/>
    <col min="14360" max="14360" width="10.5703125" style="4" bestFit="1" customWidth="1"/>
    <col min="14361" max="14361" width="27.42578125" style="4" customWidth="1"/>
    <col min="14362" max="14592" width="9.140625" style="4"/>
    <col min="14593" max="14593" width="11.28515625" style="4" customWidth="1"/>
    <col min="14594" max="14594" width="6" style="4" customWidth="1"/>
    <col min="14595" max="14595" width="10.7109375" style="4" customWidth="1"/>
    <col min="14596" max="14596" width="6.85546875" style="4" customWidth="1"/>
    <col min="14597" max="14598" width="5.85546875" style="4" customWidth="1"/>
    <col min="14599" max="14599" width="7.85546875" style="4" customWidth="1"/>
    <col min="14600" max="14601" width="7.140625" style="4" customWidth="1"/>
    <col min="14602" max="14602" width="9.5703125" style="4" bestFit="1" customWidth="1"/>
    <col min="14603" max="14603" width="9.7109375" style="4" customWidth="1"/>
    <col min="14604" max="14604" width="8.42578125" style="4" customWidth="1"/>
    <col min="14605" max="14605" width="6" style="4" customWidth="1"/>
    <col min="14606" max="14606" width="6.85546875" style="4" customWidth="1"/>
    <col min="14607" max="14607" width="8.140625" style="4" customWidth="1"/>
    <col min="14608" max="14608" width="9.7109375" style="4" customWidth="1"/>
    <col min="14609" max="14609" width="8" style="4" customWidth="1"/>
    <col min="14610" max="14611" width="6.85546875" style="4" customWidth="1"/>
    <col min="14612" max="14612" width="8.42578125" style="4" customWidth="1"/>
    <col min="14613" max="14613" width="11.140625" style="4" customWidth="1"/>
    <col min="14614" max="14614" width="8.5703125" style="4" customWidth="1"/>
    <col min="14615" max="14615" width="7.5703125" style="4" customWidth="1"/>
    <col min="14616" max="14616" width="10.5703125" style="4" bestFit="1" customWidth="1"/>
    <col min="14617" max="14617" width="27.42578125" style="4" customWidth="1"/>
    <col min="14618" max="14848" width="9.140625" style="4"/>
    <col min="14849" max="14849" width="11.28515625" style="4" customWidth="1"/>
    <col min="14850" max="14850" width="6" style="4" customWidth="1"/>
    <col min="14851" max="14851" width="10.7109375" style="4" customWidth="1"/>
    <col min="14852" max="14852" width="6.85546875" style="4" customWidth="1"/>
    <col min="14853" max="14854" width="5.85546875" style="4" customWidth="1"/>
    <col min="14855" max="14855" width="7.85546875" style="4" customWidth="1"/>
    <col min="14856" max="14857" width="7.140625" style="4" customWidth="1"/>
    <col min="14858" max="14858" width="9.5703125" style="4" bestFit="1" customWidth="1"/>
    <col min="14859" max="14859" width="9.7109375" style="4" customWidth="1"/>
    <col min="14860" max="14860" width="8.42578125" style="4" customWidth="1"/>
    <col min="14861" max="14861" width="6" style="4" customWidth="1"/>
    <col min="14862" max="14862" width="6.85546875" style="4" customWidth="1"/>
    <col min="14863" max="14863" width="8.140625" style="4" customWidth="1"/>
    <col min="14864" max="14864" width="9.7109375" style="4" customWidth="1"/>
    <col min="14865" max="14865" width="8" style="4" customWidth="1"/>
    <col min="14866" max="14867" width="6.85546875" style="4" customWidth="1"/>
    <col min="14868" max="14868" width="8.42578125" style="4" customWidth="1"/>
    <col min="14869" max="14869" width="11.140625" style="4" customWidth="1"/>
    <col min="14870" max="14870" width="8.5703125" style="4" customWidth="1"/>
    <col min="14871" max="14871" width="7.5703125" style="4" customWidth="1"/>
    <col min="14872" max="14872" width="10.5703125" style="4" bestFit="1" customWidth="1"/>
    <col min="14873" max="14873" width="27.42578125" style="4" customWidth="1"/>
    <col min="14874" max="15104" width="9.140625" style="4"/>
    <col min="15105" max="15105" width="11.28515625" style="4" customWidth="1"/>
    <col min="15106" max="15106" width="6" style="4" customWidth="1"/>
    <col min="15107" max="15107" width="10.7109375" style="4" customWidth="1"/>
    <col min="15108" max="15108" width="6.85546875" style="4" customWidth="1"/>
    <col min="15109" max="15110" width="5.85546875" style="4" customWidth="1"/>
    <col min="15111" max="15111" width="7.85546875" style="4" customWidth="1"/>
    <col min="15112" max="15113" width="7.140625" style="4" customWidth="1"/>
    <col min="15114" max="15114" width="9.5703125" style="4" bestFit="1" customWidth="1"/>
    <col min="15115" max="15115" width="9.7109375" style="4" customWidth="1"/>
    <col min="15116" max="15116" width="8.42578125" style="4" customWidth="1"/>
    <col min="15117" max="15117" width="6" style="4" customWidth="1"/>
    <col min="15118" max="15118" width="6.85546875" style="4" customWidth="1"/>
    <col min="15119" max="15119" width="8.140625" style="4" customWidth="1"/>
    <col min="15120" max="15120" width="9.7109375" style="4" customWidth="1"/>
    <col min="15121" max="15121" width="8" style="4" customWidth="1"/>
    <col min="15122" max="15123" width="6.85546875" style="4" customWidth="1"/>
    <col min="15124" max="15124" width="8.42578125" style="4" customWidth="1"/>
    <col min="15125" max="15125" width="11.140625" style="4" customWidth="1"/>
    <col min="15126" max="15126" width="8.5703125" style="4" customWidth="1"/>
    <col min="15127" max="15127" width="7.5703125" style="4" customWidth="1"/>
    <col min="15128" max="15128" width="10.5703125" style="4" bestFit="1" customWidth="1"/>
    <col min="15129" max="15129" width="27.42578125" style="4" customWidth="1"/>
    <col min="15130" max="15360" width="9.140625" style="4"/>
    <col min="15361" max="15361" width="11.28515625" style="4" customWidth="1"/>
    <col min="15362" max="15362" width="6" style="4" customWidth="1"/>
    <col min="15363" max="15363" width="10.7109375" style="4" customWidth="1"/>
    <col min="15364" max="15364" width="6.85546875" style="4" customWidth="1"/>
    <col min="15365" max="15366" width="5.85546875" style="4" customWidth="1"/>
    <col min="15367" max="15367" width="7.85546875" style="4" customWidth="1"/>
    <col min="15368" max="15369" width="7.140625" style="4" customWidth="1"/>
    <col min="15370" max="15370" width="9.5703125" style="4" bestFit="1" customWidth="1"/>
    <col min="15371" max="15371" width="9.7109375" style="4" customWidth="1"/>
    <col min="15372" max="15372" width="8.42578125" style="4" customWidth="1"/>
    <col min="15373" max="15373" width="6" style="4" customWidth="1"/>
    <col min="15374" max="15374" width="6.85546875" style="4" customWidth="1"/>
    <col min="15375" max="15375" width="8.140625" style="4" customWidth="1"/>
    <col min="15376" max="15376" width="9.7109375" style="4" customWidth="1"/>
    <col min="15377" max="15377" width="8" style="4" customWidth="1"/>
    <col min="15378" max="15379" width="6.85546875" style="4" customWidth="1"/>
    <col min="15380" max="15380" width="8.42578125" style="4" customWidth="1"/>
    <col min="15381" max="15381" width="11.140625" style="4" customWidth="1"/>
    <col min="15382" max="15382" width="8.5703125" style="4" customWidth="1"/>
    <col min="15383" max="15383" width="7.5703125" style="4" customWidth="1"/>
    <col min="15384" max="15384" width="10.5703125" style="4" bestFit="1" customWidth="1"/>
    <col min="15385" max="15385" width="27.42578125" style="4" customWidth="1"/>
    <col min="15386" max="15616" width="9.140625" style="4"/>
    <col min="15617" max="15617" width="11.28515625" style="4" customWidth="1"/>
    <col min="15618" max="15618" width="6" style="4" customWidth="1"/>
    <col min="15619" max="15619" width="10.7109375" style="4" customWidth="1"/>
    <col min="15620" max="15620" width="6.85546875" style="4" customWidth="1"/>
    <col min="15621" max="15622" width="5.85546875" style="4" customWidth="1"/>
    <col min="15623" max="15623" width="7.85546875" style="4" customWidth="1"/>
    <col min="15624" max="15625" width="7.140625" style="4" customWidth="1"/>
    <col min="15626" max="15626" width="9.5703125" style="4" bestFit="1" customWidth="1"/>
    <col min="15627" max="15627" width="9.7109375" style="4" customWidth="1"/>
    <col min="15628" max="15628" width="8.42578125" style="4" customWidth="1"/>
    <col min="15629" max="15629" width="6" style="4" customWidth="1"/>
    <col min="15630" max="15630" width="6.85546875" style="4" customWidth="1"/>
    <col min="15631" max="15631" width="8.140625" style="4" customWidth="1"/>
    <col min="15632" max="15632" width="9.7109375" style="4" customWidth="1"/>
    <col min="15633" max="15633" width="8" style="4" customWidth="1"/>
    <col min="15634" max="15635" width="6.85546875" style="4" customWidth="1"/>
    <col min="15636" max="15636" width="8.42578125" style="4" customWidth="1"/>
    <col min="15637" max="15637" width="11.140625" style="4" customWidth="1"/>
    <col min="15638" max="15638" width="8.5703125" style="4" customWidth="1"/>
    <col min="15639" max="15639" width="7.5703125" style="4" customWidth="1"/>
    <col min="15640" max="15640" width="10.5703125" style="4" bestFit="1" customWidth="1"/>
    <col min="15641" max="15641" width="27.42578125" style="4" customWidth="1"/>
    <col min="15642" max="15872" width="9.140625" style="4"/>
    <col min="15873" max="15873" width="11.28515625" style="4" customWidth="1"/>
    <col min="15874" max="15874" width="6" style="4" customWidth="1"/>
    <col min="15875" max="15875" width="10.7109375" style="4" customWidth="1"/>
    <col min="15876" max="15876" width="6.85546875" style="4" customWidth="1"/>
    <col min="15877" max="15878" width="5.85546875" style="4" customWidth="1"/>
    <col min="15879" max="15879" width="7.85546875" style="4" customWidth="1"/>
    <col min="15880" max="15881" width="7.140625" style="4" customWidth="1"/>
    <col min="15882" max="15882" width="9.5703125" style="4" bestFit="1" customWidth="1"/>
    <col min="15883" max="15883" width="9.7109375" style="4" customWidth="1"/>
    <col min="15884" max="15884" width="8.42578125" style="4" customWidth="1"/>
    <col min="15885" max="15885" width="6" style="4" customWidth="1"/>
    <col min="15886" max="15886" width="6.85546875" style="4" customWidth="1"/>
    <col min="15887" max="15887" width="8.140625" style="4" customWidth="1"/>
    <col min="15888" max="15888" width="9.7109375" style="4" customWidth="1"/>
    <col min="15889" max="15889" width="8" style="4" customWidth="1"/>
    <col min="15890" max="15891" width="6.85546875" style="4" customWidth="1"/>
    <col min="15892" max="15892" width="8.42578125" style="4" customWidth="1"/>
    <col min="15893" max="15893" width="11.140625" style="4" customWidth="1"/>
    <col min="15894" max="15894" width="8.5703125" style="4" customWidth="1"/>
    <col min="15895" max="15895" width="7.5703125" style="4" customWidth="1"/>
    <col min="15896" max="15896" width="10.5703125" style="4" bestFit="1" customWidth="1"/>
    <col min="15897" max="15897" width="27.42578125" style="4" customWidth="1"/>
    <col min="15898" max="16128" width="9.140625" style="4"/>
    <col min="16129" max="16129" width="11.28515625" style="4" customWidth="1"/>
    <col min="16130" max="16130" width="6" style="4" customWidth="1"/>
    <col min="16131" max="16131" width="10.7109375" style="4" customWidth="1"/>
    <col min="16132" max="16132" width="6.85546875" style="4" customWidth="1"/>
    <col min="16133" max="16134" width="5.85546875" style="4" customWidth="1"/>
    <col min="16135" max="16135" width="7.85546875" style="4" customWidth="1"/>
    <col min="16136" max="16137" width="7.140625" style="4" customWidth="1"/>
    <col min="16138" max="16138" width="9.5703125" style="4" bestFit="1" customWidth="1"/>
    <col min="16139" max="16139" width="9.7109375" style="4" customWidth="1"/>
    <col min="16140" max="16140" width="8.42578125" style="4" customWidth="1"/>
    <col min="16141" max="16141" width="6" style="4" customWidth="1"/>
    <col min="16142" max="16142" width="6.85546875" style="4" customWidth="1"/>
    <col min="16143" max="16143" width="8.140625" style="4" customWidth="1"/>
    <col min="16144" max="16144" width="9.7109375" style="4" customWidth="1"/>
    <col min="16145" max="16145" width="8" style="4" customWidth="1"/>
    <col min="16146" max="16147" width="6.85546875" style="4" customWidth="1"/>
    <col min="16148" max="16148" width="8.42578125" style="4" customWidth="1"/>
    <col min="16149" max="16149" width="11.140625" style="4" customWidth="1"/>
    <col min="16150" max="16150" width="8.5703125" style="4" customWidth="1"/>
    <col min="16151" max="16151" width="7.5703125" style="4" customWidth="1"/>
    <col min="16152" max="16152" width="10.5703125" style="4" bestFit="1" customWidth="1"/>
    <col min="16153" max="16153" width="27.42578125" style="4" customWidth="1"/>
    <col min="16154" max="16384" width="9.140625" style="4"/>
  </cols>
  <sheetData>
    <row r="1" spans="1:25" ht="23.25" customHeight="1" thickBot="1" x14ac:dyDescent="0.3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ht="21" thickTop="1" x14ac:dyDescent="0.25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7"/>
      <c r="M2" s="7"/>
      <c r="N2" s="5"/>
      <c r="O2" s="5"/>
      <c r="P2" s="5"/>
      <c r="Q2" s="5"/>
      <c r="R2" s="5"/>
      <c r="S2" s="8"/>
      <c r="T2" s="5"/>
      <c r="U2" s="5"/>
      <c r="V2" s="5"/>
      <c r="W2" s="5"/>
      <c r="X2" s="5"/>
      <c r="Y2" s="5"/>
    </row>
    <row r="3" spans="1:25" x14ac:dyDescent="0.25">
      <c r="A3" s="9"/>
      <c r="B3" s="9"/>
      <c r="C3" s="10"/>
      <c r="D3" s="9"/>
      <c r="E3" s="9"/>
      <c r="F3" s="9"/>
      <c r="G3" s="9"/>
      <c r="H3" s="9"/>
      <c r="I3" s="9"/>
      <c r="J3" s="11"/>
      <c r="K3" s="9"/>
      <c r="L3" s="12"/>
      <c r="M3" s="12"/>
      <c r="N3" s="9"/>
      <c r="O3" s="9"/>
      <c r="P3" s="9"/>
      <c r="Q3" s="76" t="s">
        <v>0</v>
      </c>
      <c r="R3" s="76"/>
      <c r="S3" s="13" t="e">
        <f>#REF!</f>
        <v>#REF!</v>
      </c>
      <c r="T3" s="14" t="s">
        <v>1</v>
      </c>
      <c r="U3" s="15"/>
      <c r="V3" s="15"/>
      <c r="W3" s="15"/>
      <c r="X3" s="9"/>
      <c r="Y3" s="77"/>
    </row>
    <row r="4" spans="1:25" x14ac:dyDescent="0.25">
      <c r="A4" s="76" t="s">
        <v>2</v>
      </c>
      <c r="B4" s="76"/>
      <c r="C4" s="16"/>
      <c r="D4" s="14"/>
      <c r="E4" s="9"/>
      <c r="F4" s="9"/>
      <c r="G4" s="9"/>
      <c r="H4" s="9"/>
      <c r="I4" s="9"/>
      <c r="J4" s="9" t="s">
        <v>3</v>
      </c>
      <c r="K4" s="9"/>
      <c r="L4" s="12"/>
      <c r="M4" s="12"/>
      <c r="N4" s="9"/>
      <c r="O4" s="9"/>
      <c r="P4" s="9"/>
      <c r="Q4" s="78" t="s">
        <v>4</v>
      </c>
      <c r="R4" s="78"/>
      <c r="S4" s="79" t="e">
        <f>N63/#REF!</f>
        <v>#REF!</v>
      </c>
      <c r="T4" s="79"/>
      <c r="U4" s="17"/>
      <c r="V4" s="18"/>
      <c r="W4" s="19"/>
      <c r="X4" s="9"/>
      <c r="Y4" s="77"/>
    </row>
    <row r="5" spans="1:25" x14ac:dyDescent="0.2">
      <c r="A5" s="78" t="s">
        <v>5</v>
      </c>
      <c r="B5" s="78"/>
      <c r="C5" s="20">
        <v>0</v>
      </c>
      <c r="D5" s="21" t="s">
        <v>6</v>
      </c>
      <c r="E5" s="9"/>
      <c r="F5" s="9"/>
      <c r="G5" s="9"/>
      <c r="H5" s="9"/>
      <c r="I5" s="9"/>
      <c r="J5" s="22" t="s">
        <v>7</v>
      </c>
      <c r="K5" s="9"/>
      <c r="L5" s="12"/>
      <c r="M5" s="12"/>
      <c r="N5" s="9"/>
      <c r="O5" s="9"/>
      <c r="P5" s="9"/>
      <c r="Q5" s="78" t="s">
        <v>8</v>
      </c>
      <c r="R5" s="78"/>
      <c r="S5" s="23">
        <f>J63</f>
        <v>0</v>
      </c>
      <c r="T5" s="21" t="s">
        <v>6</v>
      </c>
      <c r="U5" s="24" t="s">
        <v>9</v>
      </c>
      <c r="V5" s="25">
        <f>F63</f>
        <v>0</v>
      </c>
      <c r="W5" s="25"/>
      <c r="X5" s="9"/>
      <c r="Y5" s="77"/>
    </row>
    <row r="6" spans="1:25" x14ac:dyDescent="0.2">
      <c r="A6" s="78" t="s">
        <v>10</v>
      </c>
      <c r="B6" s="78"/>
      <c r="C6" s="26">
        <f>A13</f>
        <v>0</v>
      </c>
      <c r="D6" s="21"/>
      <c r="E6" s="9"/>
      <c r="F6" s="9"/>
      <c r="G6" s="9"/>
      <c r="H6" s="9"/>
      <c r="I6" s="9"/>
      <c r="J6" s="9"/>
      <c r="K6" s="9"/>
      <c r="L6" s="12"/>
      <c r="M6" s="12"/>
      <c r="N6" s="9"/>
      <c r="O6" s="9"/>
      <c r="P6" s="9"/>
      <c r="Q6" s="78"/>
      <c r="R6" s="78"/>
      <c r="S6" s="23" t="e">
        <f>S5/C5*100</f>
        <v>#DIV/0!</v>
      </c>
      <c r="T6" s="21" t="s">
        <v>11</v>
      </c>
      <c r="U6" s="24" t="s">
        <v>12</v>
      </c>
      <c r="V6" s="25">
        <f>G63</f>
        <v>0</v>
      </c>
      <c r="W6" s="25"/>
      <c r="X6" s="9"/>
      <c r="Y6" s="77"/>
    </row>
    <row r="7" spans="1:25" x14ac:dyDescent="0.25">
      <c r="A7" s="78" t="s">
        <v>13</v>
      </c>
      <c r="B7" s="78"/>
      <c r="C7" s="20"/>
      <c r="D7" s="21"/>
      <c r="E7" s="9"/>
      <c r="F7" s="9"/>
      <c r="G7" s="9"/>
      <c r="H7" s="9"/>
      <c r="I7" s="9"/>
      <c r="J7" s="9"/>
      <c r="K7" s="9"/>
      <c r="L7" s="12"/>
      <c r="M7" s="12"/>
      <c r="N7" s="9"/>
      <c r="O7" s="9"/>
      <c r="P7" s="9"/>
      <c r="Q7" s="78"/>
      <c r="R7" s="78"/>
      <c r="S7" s="27"/>
      <c r="T7" s="21"/>
      <c r="U7" s="28" t="s">
        <v>14</v>
      </c>
      <c r="V7" s="29">
        <f>C5-V4-V5-S5</f>
        <v>0</v>
      </c>
      <c r="W7" s="15"/>
      <c r="X7" s="10"/>
      <c r="Y7" s="9"/>
    </row>
    <row r="8" spans="1:25" ht="15.75" customHeight="1" thickBot="1" x14ac:dyDescent="0.3">
      <c r="A8" s="30"/>
      <c r="B8" s="30"/>
      <c r="C8" s="31"/>
      <c r="D8" s="9" t="s">
        <v>15</v>
      </c>
      <c r="E8" s="9"/>
      <c r="F8" s="9"/>
      <c r="G8" s="9"/>
      <c r="H8" s="9"/>
      <c r="I8" s="9"/>
      <c r="J8" s="9"/>
      <c r="K8" s="9"/>
      <c r="L8" s="12"/>
      <c r="M8" s="12"/>
      <c r="N8" s="9"/>
      <c r="O8" s="9"/>
      <c r="P8" s="9"/>
      <c r="Q8" s="81"/>
      <c r="R8" s="81"/>
      <c r="S8" s="32"/>
      <c r="T8" s="33"/>
      <c r="U8" s="15"/>
      <c r="V8" s="15"/>
      <c r="W8" s="15"/>
      <c r="X8" s="9"/>
      <c r="Y8" s="9"/>
    </row>
    <row r="9" spans="1:25" ht="15.75" customHeight="1" x14ac:dyDescent="0.25">
      <c r="A9" s="30"/>
      <c r="B9" s="30"/>
      <c r="C9" s="31"/>
      <c r="D9" s="9"/>
      <c r="E9" s="9"/>
      <c r="F9" s="9"/>
      <c r="G9" s="9"/>
      <c r="H9" s="9"/>
      <c r="I9" s="9"/>
      <c r="J9" s="9"/>
      <c r="K9" s="9"/>
      <c r="L9" s="12"/>
      <c r="M9" s="12"/>
      <c r="N9" s="9"/>
      <c r="O9" s="9"/>
      <c r="P9" s="9"/>
      <c r="Q9" s="34"/>
      <c r="R9" s="34"/>
      <c r="S9" s="35"/>
      <c r="T9" s="9"/>
      <c r="U9" s="9"/>
      <c r="V9" s="9"/>
      <c r="W9" s="9"/>
      <c r="X9" s="9"/>
      <c r="Y9" s="9"/>
    </row>
    <row r="10" spans="1:25" ht="15.75" customHeight="1" x14ac:dyDescent="0.25">
      <c r="A10" s="80" t="s">
        <v>16</v>
      </c>
      <c r="B10" s="80" t="s">
        <v>17</v>
      </c>
      <c r="C10" s="82" t="s">
        <v>18</v>
      </c>
      <c r="D10" s="80" t="s">
        <v>19</v>
      </c>
      <c r="E10" s="80"/>
      <c r="F10" s="80"/>
      <c r="G10" s="80"/>
      <c r="H10" s="80"/>
      <c r="I10" s="80"/>
      <c r="J10" s="80"/>
      <c r="K10" s="80"/>
      <c r="L10" s="80"/>
      <c r="M10" s="80"/>
      <c r="N10" s="80" t="s">
        <v>20</v>
      </c>
      <c r="O10" s="80"/>
      <c r="P10" s="80"/>
      <c r="Q10" s="80" t="s">
        <v>21</v>
      </c>
      <c r="R10" s="80"/>
      <c r="S10" s="80" t="s">
        <v>4</v>
      </c>
      <c r="T10" s="80"/>
      <c r="U10" s="80" t="s">
        <v>22</v>
      </c>
      <c r="V10" s="80"/>
      <c r="W10" s="80" t="s">
        <v>23</v>
      </c>
      <c r="X10" s="80"/>
      <c r="Y10" s="80" t="s">
        <v>24</v>
      </c>
    </row>
    <row r="11" spans="1:25" ht="15.75" customHeight="1" x14ac:dyDescent="0.25">
      <c r="A11" s="80"/>
      <c r="B11" s="80"/>
      <c r="C11" s="82"/>
      <c r="D11" s="80" t="s">
        <v>6</v>
      </c>
      <c r="E11" s="80"/>
      <c r="F11" s="80"/>
      <c r="G11" s="80"/>
      <c r="H11" s="80"/>
      <c r="I11" s="80"/>
      <c r="J11" s="53" t="s">
        <v>25</v>
      </c>
      <c r="K11" s="80" t="s">
        <v>26</v>
      </c>
      <c r="L11" s="83" t="s">
        <v>11</v>
      </c>
      <c r="M11" s="54" t="s">
        <v>27</v>
      </c>
      <c r="N11" s="80" t="s">
        <v>28</v>
      </c>
      <c r="O11" s="84" t="s">
        <v>29</v>
      </c>
      <c r="P11" s="80" t="s">
        <v>26</v>
      </c>
      <c r="Q11" s="80" t="s">
        <v>28</v>
      </c>
      <c r="R11" s="80" t="s">
        <v>30</v>
      </c>
      <c r="S11" s="85" t="s">
        <v>30</v>
      </c>
      <c r="T11" s="80" t="s">
        <v>28</v>
      </c>
      <c r="U11" s="80" t="s">
        <v>31</v>
      </c>
      <c r="V11" s="53" t="s">
        <v>25</v>
      </c>
      <c r="W11" s="80" t="s">
        <v>32</v>
      </c>
      <c r="X11" s="80" t="s">
        <v>33</v>
      </c>
      <c r="Y11" s="80"/>
    </row>
    <row r="12" spans="1:25" ht="31.5" customHeight="1" x14ac:dyDescent="0.25">
      <c r="A12" s="80"/>
      <c r="B12" s="80"/>
      <c r="C12" s="82"/>
      <c r="D12" s="53" t="s">
        <v>34</v>
      </c>
      <c r="E12" s="53" t="s">
        <v>35</v>
      </c>
      <c r="F12" s="53" t="s">
        <v>36</v>
      </c>
      <c r="G12" s="55" t="s">
        <v>37</v>
      </c>
      <c r="H12" s="55" t="s">
        <v>38</v>
      </c>
      <c r="I12" s="55" t="s">
        <v>39</v>
      </c>
      <c r="J12" s="53" t="s">
        <v>40</v>
      </c>
      <c r="K12" s="80"/>
      <c r="L12" s="83"/>
      <c r="M12" s="54" t="s">
        <v>41</v>
      </c>
      <c r="N12" s="80"/>
      <c r="O12" s="84"/>
      <c r="P12" s="80"/>
      <c r="Q12" s="80"/>
      <c r="R12" s="80"/>
      <c r="S12" s="85"/>
      <c r="T12" s="80"/>
      <c r="U12" s="80"/>
      <c r="V12" s="53" t="s">
        <v>40</v>
      </c>
      <c r="W12" s="80"/>
      <c r="X12" s="80"/>
      <c r="Y12" s="80"/>
    </row>
    <row r="13" spans="1:25" ht="15.75" customHeight="1" x14ac:dyDescent="0.25">
      <c r="A13" s="39"/>
      <c r="B13" s="37"/>
      <c r="C13" s="40">
        <f>C5-D13-E13+F13+G13+H13-I13</f>
        <v>0</v>
      </c>
      <c r="D13" s="69">
        <v>0</v>
      </c>
      <c r="E13" s="69">
        <v>0</v>
      </c>
      <c r="F13" s="69">
        <v>0</v>
      </c>
      <c r="G13" s="69">
        <v>0</v>
      </c>
      <c r="H13" s="69">
        <v>0</v>
      </c>
      <c r="I13" s="69">
        <v>0</v>
      </c>
      <c r="J13" s="41"/>
      <c r="K13" s="41">
        <f>D13+E13+F13+G13+H13</f>
        <v>0</v>
      </c>
      <c r="L13" s="70" t="e">
        <f>K13/C5*100</f>
        <v>#DIV/0!</v>
      </c>
      <c r="M13" s="72">
        <v>0.15</v>
      </c>
      <c r="N13" s="41">
        <v>0</v>
      </c>
      <c r="O13" s="41"/>
      <c r="P13" s="41">
        <f>N13</f>
        <v>0</v>
      </c>
      <c r="Q13" s="41">
        <v>0</v>
      </c>
      <c r="R13" s="41">
        <v>0</v>
      </c>
      <c r="S13" s="43">
        <v>0</v>
      </c>
      <c r="T13" s="44"/>
      <c r="U13" s="71" t="e">
        <f>N13/C13*1000</f>
        <v>#DIV/0!</v>
      </c>
      <c r="V13" s="41"/>
      <c r="W13" s="2">
        <v>13</v>
      </c>
      <c r="X13" s="45">
        <f t="shared" ref="X13:X62" si="0">(C13*W13)/1000</f>
        <v>0</v>
      </c>
      <c r="Y13" s="46"/>
    </row>
    <row r="14" spans="1:25" x14ac:dyDescent="0.25">
      <c r="A14" s="39"/>
      <c r="B14" s="37"/>
      <c r="C14" s="40">
        <f>C13-D14-E14-F14-G14-H14-I14</f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41"/>
      <c r="K14" s="41">
        <f>(D14+E14+F14+G14+H14)+K13</f>
        <v>0</v>
      </c>
      <c r="L14" s="71" t="e">
        <f>K14/C$5*100</f>
        <v>#DIV/0!</v>
      </c>
      <c r="M14" s="73">
        <v>0.25</v>
      </c>
      <c r="N14" s="41">
        <v>0</v>
      </c>
      <c r="O14" s="41"/>
      <c r="P14" s="41">
        <f t="shared" ref="P14:P59" si="1">P13+N14</f>
        <v>0</v>
      </c>
      <c r="Q14" s="41">
        <v>0</v>
      </c>
      <c r="R14" s="41">
        <v>53</v>
      </c>
      <c r="S14" s="43">
        <v>0</v>
      </c>
      <c r="T14" s="44"/>
      <c r="U14" s="71" t="e">
        <f t="shared" ref="U14:U62" si="2">N14/C14*1000</f>
        <v>#DIV/0!</v>
      </c>
      <c r="V14" s="41"/>
      <c r="W14" s="2">
        <v>16</v>
      </c>
      <c r="X14" s="45">
        <f t="shared" si="0"/>
        <v>0</v>
      </c>
      <c r="Y14" s="46"/>
    </row>
    <row r="15" spans="1:25" x14ac:dyDescent="0.25">
      <c r="A15" s="39"/>
      <c r="B15" s="37"/>
      <c r="C15" s="40">
        <f t="shared" ref="C15:C59" si="3">C14-D15-E15-F15-G15-H15-I15</f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41"/>
      <c r="K15" s="41">
        <f t="shared" ref="K15:K59" si="4">(D15+E15+F15+G15+H15)+K14</f>
        <v>0</v>
      </c>
      <c r="L15" s="71" t="e">
        <f t="shared" ref="L15:L62" si="5">K15/C$5*100</f>
        <v>#DIV/0!</v>
      </c>
      <c r="M15" s="73">
        <v>0.4</v>
      </c>
      <c r="N15" s="41">
        <v>0</v>
      </c>
      <c r="O15" s="41"/>
      <c r="P15" s="41">
        <f t="shared" si="1"/>
        <v>0</v>
      </c>
      <c r="Q15" s="41">
        <v>0</v>
      </c>
      <c r="R15" s="41">
        <v>67</v>
      </c>
      <c r="S15" s="43">
        <v>0</v>
      </c>
      <c r="T15" s="44"/>
      <c r="U15" s="71" t="e">
        <f t="shared" si="2"/>
        <v>#DIV/0!</v>
      </c>
      <c r="V15" s="41"/>
      <c r="W15" s="3">
        <v>20</v>
      </c>
      <c r="X15" s="45">
        <f t="shared" si="0"/>
        <v>0</v>
      </c>
      <c r="Y15" s="46"/>
    </row>
    <row r="16" spans="1:25" x14ac:dyDescent="0.25">
      <c r="A16" s="39"/>
      <c r="B16" s="37"/>
      <c r="C16" s="40">
        <f t="shared" si="3"/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41"/>
      <c r="K16" s="41">
        <f t="shared" si="4"/>
        <v>0</v>
      </c>
      <c r="L16" s="71" t="e">
        <f t="shared" si="5"/>
        <v>#DIV/0!</v>
      </c>
      <c r="M16" s="73">
        <v>0.5</v>
      </c>
      <c r="N16" s="41">
        <v>0</v>
      </c>
      <c r="O16" s="41"/>
      <c r="P16" s="41">
        <f t="shared" si="1"/>
        <v>0</v>
      </c>
      <c r="Q16" s="41">
        <v>0</v>
      </c>
      <c r="R16" s="41">
        <v>84</v>
      </c>
      <c r="S16" s="43">
        <v>0</v>
      </c>
      <c r="T16" s="44"/>
      <c r="U16" s="71" t="e">
        <f t="shared" si="2"/>
        <v>#DIV/0!</v>
      </c>
      <c r="V16" s="41"/>
      <c r="W16" s="3">
        <v>24</v>
      </c>
      <c r="X16" s="45">
        <f t="shared" si="0"/>
        <v>0</v>
      </c>
      <c r="Y16" s="46"/>
    </row>
    <row r="17" spans="1:25" x14ac:dyDescent="0.25">
      <c r="A17" s="39"/>
      <c r="B17" s="37"/>
      <c r="C17" s="40">
        <f t="shared" si="3"/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41"/>
      <c r="K17" s="41">
        <f t="shared" si="4"/>
        <v>0</v>
      </c>
      <c r="L17" s="71" t="e">
        <f t="shared" si="5"/>
        <v>#DIV/0!</v>
      </c>
      <c r="M17" s="73">
        <v>0.7</v>
      </c>
      <c r="N17" s="41">
        <v>0</v>
      </c>
      <c r="O17" s="41"/>
      <c r="P17" s="41">
        <f t="shared" si="1"/>
        <v>0</v>
      </c>
      <c r="Q17" s="41">
        <v>0</v>
      </c>
      <c r="R17" s="41">
        <v>105</v>
      </c>
      <c r="S17" s="43">
        <v>0</v>
      </c>
      <c r="T17" s="44"/>
      <c r="U17" s="71" t="e">
        <f t="shared" si="2"/>
        <v>#DIV/0!</v>
      </c>
      <c r="V17" s="41"/>
      <c r="W17" s="3">
        <v>28</v>
      </c>
      <c r="X17" s="45">
        <f t="shared" si="0"/>
        <v>0</v>
      </c>
      <c r="Y17" s="46"/>
    </row>
    <row r="18" spans="1:25" x14ac:dyDescent="0.25">
      <c r="A18" s="39"/>
      <c r="B18" s="37"/>
      <c r="C18" s="40">
        <f t="shared" si="3"/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41"/>
      <c r="K18" s="41">
        <f t="shared" si="4"/>
        <v>0</v>
      </c>
      <c r="L18" s="71" t="e">
        <f t="shared" si="5"/>
        <v>#DIV/0!</v>
      </c>
      <c r="M18" s="73">
        <v>0.85</v>
      </c>
      <c r="N18" s="41">
        <v>0</v>
      </c>
      <c r="O18" s="41"/>
      <c r="P18" s="41">
        <f t="shared" si="1"/>
        <v>0</v>
      </c>
      <c r="Q18" s="41">
        <v>0</v>
      </c>
      <c r="R18" s="41">
        <v>128</v>
      </c>
      <c r="S18" s="43">
        <v>0</v>
      </c>
      <c r="T18" s="44"/>
      <c r="U18" s="71" t="e">
        <f t="shared" si="2"/>
        <v>#DIV/0!</v>
      </c>
      <c r="V18" s="41"/>
      <c r="W18" s="3">
        <v>33</v>
      </c>
      <c r="X18" s="45">
        <f t="shared" si="0"/>
        <v>0</v>
      </c>
      <c r="Y18" s="46"/>
    </row>
    <row r="19" spans="1:25" s="36" customFormat="1" x14ac:dyDescent="0.25">
      <c r="A19" s="39"/>
      <c r="B19" s="37"/>
      <c r="C19" s="40">
        <f t="shared" ref="C19" si="6">C18-D19-E19-F19-G19-H19-I19</f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K19" s="41">
        <f>(D19+E19+F19+G19+H19)+K18</f>
        <v>0</v>
      </c>
      <c r="L19" s="71" t="e">
        <f>K19/C$5*100</f>
        <v>#DIV/0!</v>
      </c>
      <c r="M19" s="86">
        <v>1</v>
      </c>
      <c r="N19" s="41">
        <v>0</v>
      </c>
      <c r="P19" s="92">
        <f>P18+N19</f>
        <v>0</v>
      </c>
      <c r="Q19" s="41">
        <v>0</v>
      </c>
      <c r="R19" s="41">
        <v>154</v>
      </c>
      <c r="S19" s="43">
        <v>0</v>
      </c>
      <c r="T19" s="44"/>
      <c r="U19" s="71" t="e">
        <f>N19/C19*1000</f>
        <v>#DIV/0!</v>
      </c>
      <c r="V19" s="93"/>
      <c r="W19" s="3">
        <v>38</v>
      </c>
      <c r="X19" s="45">
        <f>(C19*W19)/1000</f>
        <v>0</v>
      </c>
      <c r="Y19" s="46"/>
    </row>
    <row r="20" spans="1:25" x14ac:dyDescent="0.25">
      <c r="A20" s="57"/>
      <c r="B20" s="56"/>
      <c r="C20" s="58">
        <f>C19-D20-E20-F20-G20-H20-I20</f>
        <v>0</v>
      </c>
      <c r="D20" s="59">
        <v>0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60">
        <f>SUM(D14:H20)</f>
        <v>0</v>
      </c>
      <c r="K20" s="60">
        <f t="shared" si="4"/>
        <v>0</v>
      </c>
      <c r="L20" s="88" t="e">
        <f t="shared" si="5"/>
        <v>#DIV/0!</v>
      </c>
      <c r="M20" s="89">
        <v>1.07</v>
      </c>
      <c r="N20" s="60">
        <v>0</v>
      </c>
      <c r="O20" s="63">
        <f>SUM(N14:N20)</f>
        <v>0</v>
      </c>
      <c r="P20" s="60">
        <f t="shared" si="1"/>
        <v>0</v>
      </c>
      <c r="Q20" s="60">
        <v>0</v>
      </c>
      <c r="R20" s="60">
        <v>182</v>
      </c>
      <c r="S20" s="64">
        <v>0</v>
      </c>
      <c r="T20" s="61"/>
      <c r="U20" s="88" t="e">
        <f t="shared" si="2"/>
        <v>#DIV/0!</v>
      </c>
      <c r="V20" s="65" t="e">
        <f>P20/C20*1000</f>
        <v>#DIV/0!</v>
      </c>
      <c r="W20" s="96">
        <v>42</v>
      </c>
      <c r="X20" s="66">
        <f t="shared" si="0"/>
        <v>0</v>
      </c>
      <c r="Y20" s="67"/>
    </row>
    <row r="21" spans="1:25" x14ac:dyDescent="0.25">
      <c r="A21" s="39"/>
      <c r="B21" s="37"/>
      <c r="C21" s="40">
        <f>C20-D21-E21-F21-G21-H21-I21</f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41"/>
      <c r="K21" s="41">
        <f>(D21+E21+F21+G21+H21)+K20</f>
        <v>0</v>
      </c>
      <c r="L21" s="71" t="e">
        <f t="shared" si="5"/>
        <v>#DIV/0!</v>
      </c>
      <c r="M21" s="73">
        <v>1.1499999999999999</v>
      </c>
      <c r="N21" s="41">
        <v>0</v>
      </c>
      <c r="O21" s="41"/>
      <c r="P21" s="41">
        <f>P20+N21</f>
        <v>0</v>
      </c>
      <c r="Q21" s="41">
        <v>0</v>
      </c>
      <c r="R21" s="41">
        <v>214</v>
      </c>
      <c r="S21" s="43">
        <v>0</v>
      </c>
      <c r="T21" s="44"/>
      <c r="U21" s="71" t="e">
        <f t="shared" si="2"/>
        <v>#DIV/0!</v>
      </c>
      <c r="V21" s="41"/>
      <c r="W21" s="1">
        <v>46</v>
      </c>
      <c r="X21" s="45">
        <f t="shared" si="0"/>
        <v>0</v>
      </c>
      <c r="Y21" s="46"/>
    </row>
    <row r="22" spans="1:25" x14ac:dyDescent="0.25">
      <c r="A22" s="39"/>
      <c r="B22" s="37"/>
      <c r="C22" s="40">
        <f t="shared" si="3"/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41"/>
      <c r="K22" s="41">
        <f t="shared" si="4"/>
        <v>0</v>
      </c>
      <c r="L22" s="71" t="e">
        <f t="shared" si="5"/>
        <v>#DIV/0!</v>
      </c>
      <c r="M22" s="73">
        <v>1.23</v>
      </c>
      <c r="N22" s="41">
        <v>0</v>
      </c>
      <c r="O22" s="41"/>
      <c r="P22" s="41">
        <f t="shared" si="1"/>
        <v>0</v>
      </c>
      <c r="Q22" s="41">
        <v>0</v>
      </c>
      <c r="R22" s="41">
        <v>250</v>
      </c>
      <c r="S22" s="43">
        <v>0</v>
      </c>
      <c r="T22" s="44"/>
      <c r="U22" s="71" t="e">
        <f t="shared" si="2"/>
        <v>#DIV/0!</v>
      </c>
      <c r="V22" s="41"/>
      <c r="W22" s="1">
        <v>50</v>
      </c>
      <c r="X22" s="45">
        <f t="shared" si="0"/>
        <v>0</v>
      </c>
      <c r="Y22" s="46"/>
    </row>
    <row r="23" spans="1:25" x14ac:dyDescent="0.25">
      <c r="A23" s="39"/>
      <c r="B23" s="37"/>
      <c r="C23" s="40">
        <f t="shared" si="3"/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41"/>
      <c r="K23" s="41">
        <f t="shared" si="4"/>
        <v>0</v>
      </c>
      <c r="L23" s="71" t="e">
        <f t="shared" si="5"/>
        <v>#DIV/0!</v>
      </c>
      <c r="M23" s="73">
        <v>1.3</v>
      </c>
      <c r="N23" s="41">
        <v>0</v>
      </c>
      <c r="O23" s="41"/>
      <c r="P23" s="41">
        <f t="shared" si="1"/>
        <v>0</v>
      </c>
      <c r="Q23" s="41">
        <v>0</v>
      </c>
      <c r="R23" s="41">
        <v>290</v>
      </c>
      <c r="S23" s="43">
        <v>0</v>
      </c>
      <c r="T23" s="44"/>
      <c r="U23" s="71" t="e">
        <f t="shared" si="2"/>
        <v>#DIV/0!</v>
      </c>
      <c r="V23" s="41"/>
      <c r="W23" s="1">
        <v>55</v>
      </c>
      <c r="X23" s="45">
        <f t="shared" si="0"/>
        <v>0</v>
      </c>
      <c r="Y23" s="46"/>
    </row>
    <row r="24" spans="1:25" x14ac:dyDescent="0.25">
      <c r="A24" s="39"/>
      <c r="B24" s="37"/>
      <c r="C24" s="40">
        <f t="shared" si="3"/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41"/>
      <c r="K24" s="41">
        <f t="shared" si="4"/>
        <v>0</v>
      </c>
      <c r="L24" s="71" t="e">
        <f t="shared" si="5"/>
        <v>#DIV/0!</v>
      </c>
      <c r="M24" s="73">
        <v>1.37</v>
      </c>
      <c r="N24" s="41">
        <v>0</v>
      </c>
      <c r="O24" s="41"/>
      <c r="P24" s="41">
        <f t="shared" si="1"/>
        <v>0</v>
      </c>
      <c r="Q24" s="41">
        <v>0</v>
      </c>
      <c r="R24" s="41">
        <v>335</v>
      </c>
      <c r="S24" s="43">
        <v>0</v>
      </c>
      <c r="T24" s="44"/>
      <c r="U24" s="71" t="e">
        <f t="shared" si="2"/>
        <v>#DIV/0!</v>
      </c>
      <c r="V24" s="41"/>
      <c r="W24" s="1">
        <v>61</v>
      </c>
      <c r="X24" s="45">
        <f t="shared" si="0"/>
        <v>0</v>
      </c>
      <c r="Y24" s="46"/>
    </row>
    <row r="25" spans="1:25" x14ac:dyDescent="0.25">
      <c r="A25" s="39"/>
      <c r="B25" s="37"/>
      <c r="C25" s="40">
        <f t="shared" si="3"/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47"/>
      <c r="K25" s="41">
        <f t="shared" si="4"/>
        <v>0</v>
      </c>
      <c r="L25" s="71" t="e">
        <f t="shared" si="5"/>
        <v>#DIV/0!</v>
      </c>
      <c r="M25" s="73">
        <v>1.42</v>
      </c>
      <c r="N25" s="41">
        <v>0</v>
      </c>
      <c r="O25" s="41"/>
      <c r="P25" s="41">
        <f t="shared" si="1"/>
        <v>0</v>
      </c>
      <c r="Q25" s="41">
        <v>0</v>
      </c>
      <c r="R25" s="41">
        <v>384</v>
      </c>
      <c r="S25" s="43">
        <v>0</v>
      </c>
      <c r="T25" s="44"/>
      <c r="U25" s="71" t="e">
        <f t="shared" si="2"/>
        <v>#DIV/0!</v>
      </c>
      <c r="V25" s="41"/>
      <c r="W25" s="1">
        <v>66</v>
      </c>
      <c r="X25" s="45">
        <f t="shared" si="0"/>
        <v>0</v>
      </c>
      <c r="Y25" s="46"/>
    </row>
    <row r="26" spans="1:25" s="36" customFormat="1" x14ac:dyDescent="0.25">
      <c r="A26" s="39"/>
      <c r="B26" s="37"/>
      <c r="C26" s="40">
        <f t="shared" ref="C26" si="7">C25-D26-E26-F26-G26-H26-I26</f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K26" s="41">
        <f t="shared" si="4"/>
        <v>0</v>
      </c>
      <c r="L26" s="71" t="e">
        <f t="shared" si="5"/>
        <v>#DIV/0!</v>
      </c>
      <c r="M26" s="87">
        <v>1.5</v>
      </c>
      <c r="N26" s="41">
        <v>0</v>
      </c>
      <c r="P26" s="41">
        <f t="shared" si="1"/>
        <v>0</v>
      </c>
      <c r="Q26" s="41">
        <v>0</v>
      </c>
      <c r="R26" s="41">
        <v>437</v>
      </c>
      <c r="S26" s="43">
        <v>0</v>
      </c>
      <c r="T26" s="44"/>
      <c r="U26" s="71" t="e">
        <f t="shared" si="2"/>
        <v>#DIV/0!</v>
      </c>
      <c r="V26" s="93"/>
      <c r="W26" s="94">
        <v>72</v>
      </c>
      <c r="X26" s="45">
        <f t="shared" si="0"/>
        <v>0</v>
      </c>
      <c r="Y26" s="46"/>
    </row>
    <row r="27" spans="1:25" x14ac:dyDescent="0.25">
      <c r="A27" s="57"/>
      <c r="B27" s="56"/>
      <c r="C27" s="58">
        <f t="shared" ref="C27" si="8">C26-D27-E27-F27-G27-H27-I27</f>
        <v>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60">
        <f>SUM(D21:H27)</f>
        <v>0</v>
      </c>
      <c r="K27" s="60">
        <f t="shared" si="4"/>
        <v>0</v>
      </c>
      <c r="L27" s="88" t="e">
        <f t="shared" si="5"/>
        <v>#DIV/0!</v>
      </c>
      <c r="M27" s="89">
        <v>1.57</v>
      </c>
      <c r="N27" s="60">
        <v>0</v>
      </c>
      <c r="O27" s="63">
        <f>SUM(N21:N27)</f>
        <v>0</v>
      </c>
      <c r="P27" s="60">
        <f t="shared" si="1"/>
        <v>0</v>
      </c>
      <c r="Q27" s="60">
        <v>0</v>
      </c>
      <c r="R27" s="60">
        <v>492</v>
      </c>
      <c r="S27" s="64">
        <v>0</v>
      </c>
      <c r="T27" s="61"/>
      <c r="U27" s="88" t="e">
        <f t="shared" si="2"/>
        <v>#DIV/0!</v>
      </c>
      <c r="V27" s="65" t="e">
        <f>P27/C27*1000</f>
        <v>#DIV/0!</v>
      </c>
      <c r="W27" s="96">
        <v>77</v>
      </c>
      <c r="X27" s="66">
        <f t="shared" si="0"/>
        <v>0</v>
      </c>
      <c r="Y27" s="67"/>
    </row>
    <row r="28" spans="1:25" x14ac:dyDescent="0.25">
      <c r="A28" s="39"/>
      <c r="B28" s="37"/>
      <c r="C28" s="40">
        <f t="shared" si="3"/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41"/>
      <c r="K28" s="41">
        <f t="shared" si="4"/>
        <v>0</v>
      </c>
      <c r="L28" s="71" t="e">
        <f t="shared" si="5"/>
        <v>#DIV/0!</v>
      </c>
      <c r="M28" s="74">
        <v>1.64</v>
      </c>
      <c r="N28" s="41">
        <v>0</v>
      </c>
      <c r="P28" s="41">
        <f t="shared" si="1"/>
        <v>0</v>
      </c>
      <c r="Q28" s="41">
        <v>500</v>
      </c>
      <c r="R28" s="41">
        <v>550</v>
      </c>
      <c r="S28" s="43">
        <v>0</v>
      </c>
      <c r="T28" s="44"/>
      <c r="U28" s="71" t="e">
        <f t="shared" si="2"/>
        <v>#DIV/0!</v>
      </c>
      <c r="V28" s="41"/>
      <c r="W28" s="1">
        <v>83</v>
      </c>
      <c r="X28" s="45">
        <f t="shared" si="0"/>
        <v>0</v>
      </c>
      <c r="Y28" s="46"/>
    </row>
    <row r="29" spans="1:25" x14ac:dyDescent="0.25">
      <c r="A29" s="39"/>
      <c r="B29" s="37"/>
      <c r="C29" s="40">
        <f t="shared" si="3"/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41"/>
      <c r="K29" s="41">
        <f t="shared" si="4"/>
        <v>0</v>
      </c>
      <c r="L29" s="71" t="e">
        <f t="shared" si="5"/>
        <v>#DIV/0!</v>
      </c>
      <c r="M29" s="73">
        <v>1.71</v>
      </c>
      <c r="N29" s="41">
        <v>0</v>
      </c>
      <c r="O29" s="41"/>
      <c r="P29" s="41">
        <f t="shared" si="1"/>
        <v>0</v>
      </c>
      <c r="Q29" s="41">
        <v>0</v>
      </c>
      <c r="R29" s="41">
        <v>611</v>
      </c>
      <c r="S29" s="43">
        <v>0</v>
      </c>
      <c r="T29" s="44"/>
      <c r="U29" s="71" t="e">
        <f t="shared" si="2"/>
        <v>#DIV/0!</v>
      </c>
      <c r="V29" s="41"/>
      <c r="W29" s="1">
        <v>88</v>
      </c>
      <c r="X29" s="45">
        <f t="shared" si="0"/>
        <v>0</v>
      </c>
      <c r="Y29" s="46"/>
    </row>
    <row r="30" spans="1:25" x14ac:dyDescent="0.25">
      <c r="A30" s="39"/>
      <c r="B30" s="37"/>
      <c r="C30" s="40">
        <f t="shared" si="3"/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41"/>
      <c r="K30" s="41">
        <f t="shared" si="4"/>
        <v>0</v>
      </c>
      <c r="L30" s="71" t="e">
        <f t="shared" si="5"/>
        <v>#DIV/0!</v>
      </c>
      <c r="M30" s="73">
        <v>1.8</v>
      </c>
      <c r="N30" s="41">
        <v>0</v>
      </c>
      <c r="O30" s="41" t="s">
        <v>15</v>
      </c>
      <c r="P30" s="41">
        <f t="shared" si="1"/>
        <v>0</v>
      </c>
      <c r="Q30" s="41">
        <v>0</v>
      </c>
      <c r="R30" s="41">
        <v>675</v>
      </c>
      <c r="S30" s="43">
        <v>0</v>
      </c>
      <c r="T30" s="44"/>
      <c r="U30" s="71" t="e">
        <f t="shared" si="2"/>
        <v>#DIV/0!</v>
      </c>
      <c r="V30" s="41"/>
      <c r="W30" s="1">
        <v>94</v>
      </c>
      <c r="X30" s="45">
        <f t="shared" si="0"/>
        <v>0</v>
      </c>
      <c r="Y30" s="46"/>
    </row>
    <row r="31" spans="1:25" x14ac:dyDescent="0.25">
      <c r="A31" s="39"/>
      <c r="B31" s="37"/>
      <c r="C31" s="40">
        <f t="shared" si="3"/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41"/>
      <c r="K31" s="41">
        <f t="shared" si="4"/>
        <v>0</v>
      </c>
      <c r="L31" s="71" t="e">
        <f t="shared" si="5"/>
        <v>#DIV/0!</v>
      </c>
      <c r="M31" s="73">
        <v>1.89</v>
      </c>
      <c r="N31" s="41">
        <v>0</v>
      </c>
      <c r="O31" s="41"/>
      <c r="P31" s="41">
        <f t="shared" si="1"/>
        <v>0</v>
      </c>
      <c r="Q31" s="41">
        <v>0</v>
      </c>
      <c r="R31" s="41">
        <v>740</v>
      </c>
      <c r="S31" s="43">
        <v>0</v>
      </c>
      <c r="T31" s="44"/>
      <c r="U31" s="71" t="e">
        <f t="shared" si="2"/>
        <v>#DIV/0!</v>
      </c>
      <c r="V31" s="41"/>
      <c r="W31" s="1">
        <v>99</v>
      </c>
      <c r="X31" s="45">
        <f t="shared" si="0"/>
        <v>0</v>
      </c>
      <c r="Y31" s="46"/>
    </row>
    <row r="32" spans="1:25" x14ac:dyDescent="0.25">
      <c r="A32" s="39"/>
      <c r="B32" s="37"/>
      <c r="C32" s="40">
        <f t="shared" si="3"/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41"/>
      <c r="K32" s="41">
        <f t="shared" si="4"/>
        <v>0</v>
      </c>
      <c r="L32" s="71" t="e">
        <f t="shared" si="5"/>
        <v>#DIV/0!</v>
      </c>
      <c r="M32" s="73">
        <v>1.99</v>
      </c>
      <c r="N32" s="41">
        <v>0</v>
      </c>
      <c r="O32" s="41"/>
      <c r="P32" s="41">
        <f t="shared" si="1"/>
        <v>0</v>
      </c>
      <c r="Q32" s="41">
        <v>0</v>
      </c>
      <c r="R32" s="41">
        <v>807</v>
      </c>
      <c r="S32" s="43">
        <v>0</v>
      </c>
      <c r="T32" s="44"/>
      <c r="U32" s="71" t="e">
        <f t="shared" si="2"/>
        <v>#DIV/0!</v>
      </c>
      <c r="V32" s="41"/>
      <c r="W32" s="1">
        <v>104</v>
      </c>
      <c r="X32" s="45">
        <f t="shared" si="0"/>
        <v>0</v>
      </c>
      <c r="Y32" s="46"/>
    </row>
    <row r="33" spans="1:25" s="36" customFormat="1" x14ac:dyDescent="0.25">
      <c r="A33" s="39"/>
      <c r="B33" s="37"/>
      <c r="C33" s="40">
        <f t="shared" ref="C33" si="9">C32-D33-E33-F33-G33-H33-I33</f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K33" s="41">
        <f t="shared" si="4"/>
        <v>0</v>
      </c>
      <c r="L33" s="71" t="e">
        <f t="shared" si="5"/>
        <v>#DIV/0!</v>
      </c>
      <c r="M33" s="87">
        <v>2.1</v>
      </c>
      <c r="N33" s="41">
        <v>0</v>
      </c>
      <c r="P33" s="41">
        <f t="shared" si="1"/>
        <v>0</v>
      </c>
      <c r="Q33" s="41">
        <v>0</v>
      </c>
      <c r="R33" s="41">
        <v>877</v>
      </c>
      <c r="S33" s="43">
        <v>0</v>
      </c>
      <c r="T33" s="44"/>
      <c r="U33" s="71" t="e">
        <f t="shared" si="2"/>
        <v>#DIV/0!</v>
      </c>
      <c r="V33" s="95"/>
      <c r="W33" s="94">
        <v>110</v>
      </c>
      <c r="X33" s="45">
        <f t="shared" si="0"/>
        <v>0</v>
      </c>
      <c r="Y33" s="46"/>
    </row>
    <row r="34" spans="1:25" x14ac:dyDescent="0.25">
      <c r="A34" s="57"/>
      <c r="B34" s="56"/>
      <c r="C34" s="58">
        <f t="shared" ref="C34" si="10">C33-D34-E34-F34-G34-H34-I34</f>
        <v>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v>0</v>
      </c>
      <c r="J34" s="60">
        <f>SUM(D28:H34)</f>
        <v>0</v>
      </c>
      <c r="K34" s="60">
        <f t="shared" si="4"/>
        <v>0</v>
      </c>
      <c r="L34" s="88" t="e">
        <f t="shared" si="5"/>
        <v>#DIV/0!</v>
      </c>
      <c r="M34" s="89">
        <v>2.2599999999999998</v>
      </c>
      <c r="N34" s="60">
        <v>0</v>
      </c>
      <c r="O34" s="63">
        <f>SUM(N28:N34)</f>
        <v>0</v>
      </c>
      <c r="P34" s="60">
        <f t="shared" si="1"/>
        <v>0</v>
      </c>
      <c r="Q34" s="60">
        <v>850</v>
      </c>
      <c r="R34" s="60">
        <v>950</v>
      </c>
      <c r="S34" s="64">
        <v>0</v>
      </c>
      <c r="T34" s="61"/>
      <c r="U34" s="88" t="e">
        <f t="shared" si="2"/>
        <v>#DIV/0!</v>
      </c>
      <c r="V34" s="68" t="e">
        <f>P34/C34*1000</f>
        <v>#DIV/0!</v>
      </c>
      <c r="W34" s="96">
        <v>115</v>
      </c>
      <c r="X34" s="66">
        <f t="shared" si="0"/>
        <v>0</v>
      </c>
      <c r="Y34" s="67"/>
    </row>
    <row r="35" spans="1:25" x14ac:dyDescent="0.25">
      <c r="A35" s="39"/>
      <c r="B35" s="37"/>
      <c r="C35" s="40">
        <f t="shared" si="3"/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41"/>
      <c r="K35" s="41">
        <f t="shared" si="4"/>
        <v>0</v>
      </c>
      <c r="L35" s="71" t="e">
        <f t="shared" si="5"/>
        <v>#DIV/0!</v>
      </c>
      <c r="M35" s="73">
        <v>2.41</v>
      </c>
      <c r="N35" s="41">
        <v>0</v>
      </c>
      <c r="O35" s="41"/>
      <c r="P35" s="41">
        <f t="shared" si="1"/>
        <v>0</v>
      </c>
      <c r="Q35" s="41">
        <v>0</v>
      </c>
      <c r="R35" s="41">
        <v>1024</v>
      </c>
      <c r="S35" s="43">
        <v>0</v>
      </c>
      <c r="T35" s="44"/>
      <c r="U35" s="71" t="e">
        <f t="shared" si="2"/>
        <v>#DIV/0!</v>
      </c>
      <c r="V35" s="41"/>
      <c r="W35" s="1">
        <v>120</v>
      </c>
      <c r="X35" s="45">
        <f t="shared" si="0"/>
        <v>0</v>
      </c>
      <c r="Y35" s="46"/>
    </row>
    <row r="36" spans="1:25" x14ac:dyDescent="0.25">
      <c r="A36" s="39"/>
      <c r="B36" s="37"/>
      <c r="C36" s="40">
        <f t="shared" si="3"/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41"/>
      <c r="K36" s="41">
        <f t="shared" si="4"/>
        <v>0</v>
      </c>
      <c r="L36" s="71" t="e">
        <f t="shared" si="5"/>
        <v>#DIV/0!</v>
      </c>
      <c r="M36" s="73">
        <v>2.56</v>
      </c>
      <c r="N36" s="41">
        <v>0</v>
      </c>
      <c r="O36" s="41"/>
      <c r="P36" s="41">
        <f t="shared" si="1"/>
        <v>0</v>
      </c>
      <c r="Q36" s="41">
        <v>0</v>
      </c>
      <c r="R36" s="41">
        <v>1099</v>
      </c>
      <c r="S36" s="43">
        <v>0</v>
      </c>
      <c r="T36" s="44"/>
      <c r="U36" s="71" t="e">
        <f t="shared" si="2"/>
        <v>#DIV/0!</v>
      </c>
      <c r="V36" s="41"/>
      <c r="W36" s="1">
        <v>126</v>
      </c>
      <c r="X36" s="45">
        <f t="shared" si="0"/>
        <v>0</v>
      </c>
      <c r="Y36" s="46"/>
    </row>
    <row r="37" spans="1:25" x14ac:dyDescent="0.25">
      <c r="A37" s="39"/>
      <c r="B37" s="37"/>
      <c r="C37" s="40">
        <f t="shared" si="3"/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41"/>
      <c r="K37" s="41">
        <f t="shared" si="4"/>
        <v>0</v>
      </c>
      <c r="L37" s="71" t="e">
        <f t="shared" si="5"/>
        <v>#DIV/0!</v>
      </c>
      <c r="M37" s="73">
        <v>2.71</v>
      </c>
      <c r="N37" s="41">
        <v>0</v>
      </c>
      <c r="O37" s="41"/>
      <c r="P37" s="41">
        <f t="shared" si="1"/>
        <v>0</v>
      </c>
      <c r="Q37" s="41">
        <v>0</v>
      </c>
      <c r="R37" s="41">
        <v>1174</v>
      </c>
      <c r="S37" s="43">
        <v>0</v>
      </c>
      <c r="T37" s="44"/>
      <c r="U37" s="71" t="e">
        <f t="shared" si="2"/>
        <v>#DIV/0!</v>
      </c>
      <c r="V37" s="41"/>
      <c r="W37" s="1">
        <v>132</v>
      </c>
      <c r="X37" s="45">
        <f t="shared" si="0"/>
        <v>0</v>
      </c>
      <c r="Y37" s="46"/>
    </row>
    <row r="38" spans="1:25" x14ac:dyDescent="0.25">
      <c r="A38" s="39"/>
      <c r="B38" s="37"/>
      <c r="C38" s="40">
        <f t="shared" si="3"/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41"/>
      <c r="K38" s="41">
        <f t="shared" si="4"/>
        <v>0</v>
      </c>
      <c r="L38" s="71" t="e">
        <f t="shared" si="5"/>
        <v>#DIV/0!</v>
      </c>
      <c r="M38" s="73">
        <v>2.87</v>
      </c>
      <c r="N38" s="41">
        <v>0</v>
      </c>
      <c r="O38" s="41"/>
      <c r="P38" s="41">
        <f t="shared" si="1"/>
        <v>0</v>
      </c>
      <c r="Q38" s="41">
        <v>0</v>
      </c>
      <c r="R38" s="41">
        <v>1250</v>
      </c>
      <c r="S38" s="43">
        <v>0</v>
      </c>
      <c r="T38" s="44"/>
      <c r="U38" s="71" t="e">
        <f t="shared" si="2"/>
        <v>#DIV/0!</v>
      </c>
      <c r="V38" s="41"/>
      <c r="W38" s="1">
        <v>138</v>
      </c>
      <c r="X38" s="45">
        <f t="shared" si="0"/>
        <v>0</v>
      </c>
      <c r="Y38" s="46"/>
    </row>
    <row r="39" spans="1:25" x14ac:dyDescent="0.25">
      <c r="A39" s="39"/>
      <c r="B39" s="37"/>
      <c r="C39" s="40">
        <f t="shared" si="3"/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41"/>
      <c r="K39" s="41">
        <f t="shared" si="4"/>
        <v>0</v>
      </c>
      <c r="L39" s="71" t="e">
        <f t="shared" si="5"/>
        <v>#DIV/0!</v>
      </c>
      <c r="M39" s="73">
        <v>3</v>
      </c>
      <c r="N39" s="41">
        <v>0</v>
      </c>
      <c r="O39" s="41"/>
      <c r="P39" s="41">
        <f t="shared" si="1"/>
        <v>0</v>
      </c>
      <c r="Q39" s="41">
        <v>0</v>
      </c>
      <c r="R39" s="41">
        <v>1326</v>
      </c>
      <c r="S39" s="43">
        <v>0</v>
      </c>
      <c r="T39" s="44"/>
      <c r="U39" s="71" t="e">
        <f t="shared" si="2"/>
        <v>#DIV/0!</v>
      </c>
      <c r="V39" s="41"/>
      <c r="W39" s="1">
        <v>144</v>
      </c>
      <c r="X39" s="45">
        <f t="shared" si="0"/>
        <v>0</v>
      </c>
      <c r="Y39" s="46"/>
    </row>
    <row r="40" spans="1:25" s="36" customFormat="1" x14ac:dyDescent="0.25">
      <c r="A40" s="39"/>
      <c r="B40" s="37"/>
      <c r="C40" s="40">
        <f t="shared" ref="C40" si="11">C39-D40-E40-F40-G40-H40-I40</f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K40" s="41">
        <f t="shared" si="4"/>
        <v>0</v>
      </c>
      <c r="L40" s="71" t="e">
        <f t="shared" si="5"/>
        <v>#DIV/0!</v>
      </c>
      <c r="M40" s="87">
        <v>3.15</v>
      </c>
      <c r="N40" s="41">
        <v>0</v>
      </c>
      <c r="P40" s="41">
        <f t="shared" si="1"/>
        <v>0</v>
      </c>
      <c r="Q40" s="41">
        <v>0</v>
      </c>
      <c r="R40" s="41">
        <v>1403</v>
      </c>
      <c r="S40" s="43">
        <v>0</v>
      </c>
      <c r="T40" s="44"/>
      <c r="U40" s="71" t="e">
        <f t="shared" si="2"/>
        <v>#DIV/0!</v>
      </c>
      <c r="V40" s="95"/>
      <c r="W40" s="94">
        <v>150</v>
      </c>
      <c r="X40" s="45">
        <f t="shared" si="0"/>
        <v>0</v>
      </c>
      <c r="Y40" s="46"/>
    </row>
    <row r="41" spans="1:25" x14ac:dyDescent="0.25">
      <c r="A41" s="57"/>
      <c r="B41" s="56"/>
      <c r="C41" s="58">
        <f t="shared" ref="C41" si="12">C40-D41-E41-F41-G41-H41-I41</f>
        <v>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v>0</v>
      </c>
      <c r="J41" s="60">
        <f>SUM(D35:H41)</f>
        <v>0</v>
      </c>
      <c r="K41" s="60">
        <f t="shared" si="4"/>
        <v>0</v>
      </c>
      <c r="L41" s="88" t="e">
        <f t="shared" si="5"/>
        <v>#DIV/0!</v>
      </c>
      <c r="M41" s="89">
        <v>3.3</v>
      </c>
      <c r="N41" s="60">
        <v>0</v>
      </c>
      <c r="O41" s="63">
        <f>SUM(N35:N41)</f>
        <v>0</v>
      </c>
      <c r="P41" s="60">
        <f t="shared" si="1"/>
        <v>0</v>
      </c>
      <c r="Q41" s="60">
        <v>0</v>
      </c>
      <c r="R41" s="60">
        <v>1480</v>
      </c>
      <c r="S41" s="64">
        <v>0</v>
      </c>
      <c r="T41" s="61"/>
      <c r="U41" s="88" t="e">
        <f t="shared" si="2"/>
        <v>#DIV/0!</v>
      </c>
      <c r="V41" s="68" t="e">
        <f>P41/C41*1000</f>
        <v>#DIV/0!</v>
      </c>
      <c r="W41" s="96">
        <v>150</v>
      </c>
      <c r="X41" s="66">
        <f t="shared" si="0"/>
        <v>0</v>
      </c>
      <c r="Y41" s="67"/>
    </row>
    <row r="42" spans="1:25" x14ac:dyDescent="0.25">
      <c r="A42" s="39"/>
      <c r="B42" s="37"/>
      <c r="C42" s="40">
        <f t="shared" si="3"/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41"/>
      <c r="K42" s="41">
        <f t="shared" si="4"/>
        <v>0</v>
      </c>
      <c r="L42" s="71" t="e">
        <f t="shared" si="5"/>
        <v>#DIV/0!</v>
      </c>
      <c r="M42" s="73">
        <v>3.44</v>
      </c>
      <c r="N42" s="41">
        <v>0</v>
      </c>
      <c r="O42" s="41"/>
      <c r="P42" s="41">
        <f t="shared" si="1"/>
        <v>0</v>
      </c>
      <c r="Q42" s="41">
        <v>0</v>
      </c>
      <c r="R42" s="41">
        <v>1558</v>
      </c>
      <c r="S42" s="43">
        <v>0</v>
      </c>
      <c r="T42" s="44"/>
      <c r="U42" s="71" t="e">
        <f t="shared" si="2"/>
        <v>#DIV/0!</v>
      </c>
      <c r="V42" s="41"/>
      <c r="W42" s="1">
        <v>156</v>
      </c>
      <c r="X42" s="45">
        <f t="shared" si="0"/>
        <v>0</v>
      </c>
      <c r="Y42" s="46"/>
    </row>
    <row r="43" spans="1:25" x14ac:dyDescent="0.25">
      <c r="A43" s="39"/>
      <c r="B43" s="37"/>
      <c r="C43" s="40">
        <f t="shared" si="3"/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41"/>
      <c r="K43" s="41">
        <f t="shared" si="4"/>
        <v>0</v>
      </c>
      <c r="L43" s="71" t="e">
        <f t="shared" si="5"/>
        <v>#DIV/0!</v>
      </c>
      <c r="M43" s="73">
        <v>3.6</v>
      </c>
      <c r="N43" s="41">
        <v>0</v>
      </c>
      <c r="O43" s="41"/>
      <c r="P43" s="41">
        <f t="shared" si="1"/>
        <v>0</v>
      </c>
      <c r="Q43" s="41">
        <v>0</v>
      </c>
      <c r="R43" s="41">
        <v>1636</v>
      </c>
      <c r="S43" s="43">
        <v>0</v>
      </c>
      <c r="T43" s="44"/>
      <c r="U43" s="71" t="e">
        <f t="shared" si="2"/>
        <v>#DIV/0!</v>
      </c>
      <c r="V43" s="41"/>
      <c r="W43" s="1">
        <v>161</v>
      </c>
      <c r="X43" s="45">
        <f t="shared" si="0"/>
        <v>0</v>
      </c>
      <c r="Y43" s="46"/>
    </row>
    <row r="44" spans="1:25" x14ac:dyDescent="0.25">
      <c r="A44" s="39"/>
      <c r="B44" s="37"/>
      <c r="C44" s="40">
        <f t="shared" si="3"/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41"/>
      <c r="K44" s="41">
        <f t="shared" si="4"/>
        <v>0</v>
      </c>
      <c r="L44" s="71" t="e">
        <f t="shared" si="5"/>
        <v>#DIV/0!</v>
      </c>
      <c r="M44" s="73">
        <v>3.78</v>
      </c>
      <c r="N44" s="41">
        <v>0</v>
      </c>
      <c r="O44" s="41"/>
      <c r="P44" s="41">
        <f t="shared" si="1"/>
        <v>0</v>
      </c>
      <c r="Q44" s="41">
        <v>0</v>
      </c>
      <c r="R44" s="41">
        <v>1715</v>
      </c>
      <c r="S44" s="43">
        <v>0</v>
      </c>
      <c r="T44" s="44"/>
      <c r="U44" s="71" t="e">
        <f t="shared" si="2"/>
        <v>#DIV/0!</v>
      </c>
      <c r="V44" s="41"/>
      <c r="W44" s="1">
        <v>167</v>
      </c>
      <c r="X44" s="45">
        <f t="shared" si="0"/>
        <v>0</v>
      </c>
      <c r="Y44" s="46"/>
    </row>
    <row r="45" spans="1:25" x14ac:dyDescent="0.25">
      <c r="A45" s="39"/>
      <c r="B45" s="37"/>
      <c r="C45" s="40">
        <f t="shared" si="3"/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41"/>
      <c r="K45" s="41">
        <f t="shared" si="4"/>
        <v>0</v>
      </c>
      <c r="L45" s="71" t="e">
        <f t="shared" si="5"/>
        <v>#DIV/0!</v>
      </c>
      <c r="M45" s="73">
        <v>3.92</v>
      </c>
      <c r="N45" s="41">
        <v>0</v>
      </c>
      <c r="O45" s="41"/>
      <c r="P45" s="41">
        <f t="shared" si="1"/>
        <v>0</v>
      </c>
      <c r="Q45" s="41">
        <v>0</v>
      </c>
      <c r="R45" s="41">
        <v>0</v>
      </c>
      <c r="S45" s="43">
        <v>0</v>
      </c>
      <c r="T45" s="44"/>
      <c r="U45" s="71" t="e">
        <f t="shared" si="2"/>
        <v>#DIV/0!</v>
      </c>
      <c r="V45" s="41"/>
      <c r="W45" s="1">
        <v>171</v>
      </c>
      <c r="X45" s="45">
        <f t="shared" si="0"/>
        <v>0</v>
      </c>
      <c r="Y45" s="46"/>
    </row>
    <row r="46" spans="1:25" x14ac:dyDescent="0.25">
      <c r="A46" s="39"/>
      <c r="B46" s="37"/>
      <c r="C46" s="40">
        <f t="shared" si="3"/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41"/>
      <c r="K46" s="41">
        <f t="shared" si="4"/>
        <v>0</v>
      </c>
      <c r="L46" s="71" t="e">
        <f t="shared" si="5"/>
        <v>#DIV/0!</v>
      </c>
      <c r="M46" s="73">
        <v>3.9</v>
      </c>
      <c r="N46" s="41">
        <v>0</v>
      </c>
      <c r="O46" s="41"/>
      <c r="P46" s="41">
        <f t="shared" si="1"/>
        <v>0</v>
      </c>
      <c r="Q46" s="41">
        <v>0</v>
      </c>
      <c r="R46" s="41">
        <v>0</v>
      </c>
      <c r="S46" s="43">
        <v>0</v>
      </c>
      <c r="T46" s="44"/>
      <c r="U46" s="71" t="e">
        <f t="shared" si="2"/>
        <v>#DIV/0!</v>
      </c>
      <c r="V46" s="41"/>
      <c r="W46" s="1">
        <v>177</v>
      </c>
      <c r="X46" s="45">
        <f t="shared" si="0"/>
        <v>0</v>
      </c>
      <c r="Y46" s="46"/>
    </row>
    <row r="47" spans="1:25" s="36" customFormat="1" x14ac:dyDescent="0.25">
      <c r="A47" s="39"/>
      <c r="B47" s="37"/>
      <c r="C47" s="40">
        <f t="shared" ref="C47" si="13">C46-D47-E47-F47-G47-H47-I47</f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K47" s="41">
        <f t="shared" si="4"/>
        <v>0</v>
      </c>
      <c r="L47" s="71" t="e">
        <f t="shared" si="5"/>
        <v>#DIV/0!</v>
      </c>
      <c r="M47" s="73">
        <v>4.0599999999999996</v>
      </c>
      <c r="N47" s="41">
        <v>0</v>
      </c>
      <c r="P47" s="41">
        <f t="shared" si="1"/>
        <v>0</v>
      </c>
      <c r="Q47" s="41">
        <v>0</v>
      </c>
      <c r="R47" s="41">
        <v>0</v>
      </c>
      <c r="S47" s="43">
        <v>0</v>
      </c>
      <c r="T47" s="44"/>
      <c r="U47" s="71" t="e">
        <f t="shared" si="2"/>
        <v>#DIV/0!</v>
      </c>
      <c r="V47" s="41"/>
      <c r="W47" s="94">
        <v>183</v>
      </c>
      <c r="X47" s="45">
        <f t="shared" si="0"/>
        <v>0</v>
      </c>
      <c r="Y47" s="46"/>
    </row>
    <row r="48" spans="1:25" x14ac:dyDescent="0.25">
      <c r="A48" s="57"/>
      <c r="B48" s="56"/>
      <c r="C48" s="58">
        <f t="shared" ref="C48" si="14">C47-D48-E48-F48-G48-H48-I48</f>
        <v>0</v>
      </c>
      <c r="D48" s="59">
        <v>0</v>
      </c>
      <c r="E48" s="59">
        <v>0</v>
      </c>
      <c r="F48" s="59">
        <v>0</v>
      </c>
      <c r="G48" s="59">
        <v>0</v>
      </c>
      <c r="H48" s="59">
        <v>0</v>
      </c>
      <c r="I48" s="59">
        <v>0</v>
      </c>
      <c r="J48" s="60">
        <f>SUM(D42:H48)</f>
        <v>0</v>
      </c>
      <c r="K48" s="60">
        <f t="shared" si="4"/>
        <v>0</v>
      </c>
      <c r="L48" s="88" t="e">
        <f t="shared" si="5"/>
        <v>#DIV/0!</v>
      </c>
      <c r="M48" s="90">
        <v>0</v>
      </c>
      <c r="N48" s="60">
        <v>0</v>
      </c>
      <c r="O48" s="56">
        <f>SUM(N42:N48)</f>
        <v>0</v>
      </c>
      <c r="P48" s="60">
        <f t="shared" si="1"/>
        <v>0</v>
      </c>
      <c r="Q48" s="60">
        <v>0</v>
      </c>
      <c r="R48" s="60">
        <v>0</v>
      </c>
      <c r="S48" s="64">
        <v>0</v>
      </c>
      <c r="T48" s="61"/>
      <c r="U48" s="88" t="e">
        <f t="shared" si="2"/>
        <v>#DIV/0!</v>
      </c>
      <c r="V48" s="68" t="e">
        <f>P48/C48*1000</f>
        <v>#DIV/0!</v>
      </c>
      <c r="W48" s="60">
        <v>0</v>
      </c>
      <c r="X48" s="66">
        <f t="shared" si="0"/>
        <v>0</v>
      </c>
      <c r="Y48" s="67"/>
    </row>
    <row r="49" spans="1:25" x14ac:dyDescent="0.25">
      <c r="A49" s="39"/>
      <c r="B49" s="37"/>
      <c r="C49" s="40">
        <f t="shared" si="3"/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41"/>
      <c r="K49" s="41">
        <f t="shared" si="4"/>
        <v>0</v>
      </c>
      <c r="L49" s="71" t="e">
        <f t="shared" si="5"/>
        <v>#DIV/0!</v>
      </c>
      <c r="M49" s="42">
        <v>0</v>
      </c>
      <c r="N49" s="41">
        <v>0</v>
      </c>
      <c r="O49" s="41"/>
      <c r="P49" s="41">
        <f t="shared" si="1"/>
        <v>0</v>
      </c>
      <c r="Q49" s="41">
        <v>0</v>
      </c>
      <c r="R49" s="41">
        <v>0</v>
      </c>
      <c r="S49" s="43">
        <v>0</v>
      </c>
      <c r="T49" s="44"/>
      <c r="U49" s="71" t="e">
        <f t="shared" si="2"/>
        <v>#DIV/0!</v>
      </c>
      <c r="V49" s="41"/>
      <c r="W49" s="41">
        <v>0</v>
      </c>
      <c r="X49" s="45">
        <f t="shared" si="0"/>
        <v>0</v>
      </c>
      <c r="Y49" s="46"/>
    </row>
    <row r="50" spans="1:25" x14ac:dyDescent="0.25">
      <c r="A50" s="39"/>
      <c r="B50" s="37"/>
      <c r="C50" s="40">
        <f t="shared" si="3"/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41"/>
      <c r="K50" s="41">
        <f t="shared" si="4"/>
        <v>0</v>
      </c>
      <c r="L50" s="71" t="e">
        <f t="shared" si="5"/>
        <v>#DIV/0!</v>
      </c>
      <c r="M50" s="42">
        <v>0</v>
      </c>
      <c r="N50" s="41">
        <v>0</v>
      </c>
      <c r="O50" s="41"/>
      <c r="P50" s="41">
        <f t="shared" si="1"/>
        <v>0</v>
      </c>
      <c r="Q50" s="41">
        <v>0</v>
      </c>
      <c r="R50" s="41">
        <v>0</v>
      </c>
      <c r="S50" s="43">
        <v>0</v>
      </c>
      <c r="T50" s="44"/>
      <c r="U50" s="71" t="e">
        <f t="shared" si="2"/>
        <v>#DIV/0!</v>
      </c>
      <c r="V50" s="41"/>
      <c r="W50" s="41">
        <v>0</v>
      </c>
      <c r="X50" s="45">
        <f t="shared" si="0"/>
        <v>0</v>
      </c>
      <c r="Y50" s="46"/>
    </row>
    <row r="51" spans="1:25" x14ac:dyDescent="0.25">
      <c r="A51" s="39"/>
      <c r="B51" s="37"/>
      <c r="C51" s="40">
        <f t="shared" si="3"/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41"/>
      <c r="K51" s="41">
        <f t="shared" si="4"/>
        <v>0</v>
      </c>
      <c r="L51" s="71" t="e">
        <f t="shared" si="5"/>
        <v>#DIV/0!</v>
      </c>
      <c r="M51" s="42">
        <v>0</v>
      </c>
      <c r="N51" s="41">
        <v>0</v>
      </c>
      <c r="O51" s="41"/>
      <c r="P51" s="41">
        <f t="shared" si="1"/>
        <v>0</v>
      </c>
      <c r="Q51" s="41">
        <v>0</v>
      </c>
      <c r="R51" s="41">
        <v>0</v>
      </c>
      <c r="S51" s="43">
        <v>0</v>
      </c>
      <c r="T51" s="44"/>
      <c r="U51" s="71" t="e">
        <f t="shared" si="2"/>
        <v>#DIV/0!</v>
      </c>
      <c r="V51" s="41"/>
      <c r="W51" s="41">
        <v>0</v>
      </c>
      <c r="X51" s="45">
        <f t="shared" si="0"/>
        <v>0</v>
      </c>
      <c r="Y51" s="46"/>
    </row>
    <row r="52" spans="1:25" x14ac:dyDescent="0.25">
      <c r="A52" s="39"/>
      <c r="B52" s="37"/>
      <c r="C52" s="40">
        <f t="shared" si="3"/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41"/>
      <c r="K52" s="41">
        <f t="shared" si="4"/>
        <v>0</v>
      </c>
      <c r="L52" s="71" t="e">
        <f t="shared" si="5"/>
        <v>#DIV/0!</v>
      </c>
      <c r="M52" s="42">
        <v>0</v>
      </c>
      <c r="N52" s="41">
        <v>0</v>
      </c>
      <c r="O52" s="41"/>
      <c r="P52" s="41">
        <f t="shared" si="1"/>
        <v>0</v>
      </c>
      <c r="Q52" s="41">
        <v>0</v>
      </c>
      <c r="R52" s="41">
        <v>0</v>
      </c>
      <c r="S52" s="43">
        <v>0</v>
      </c>
      <c r="T52" s="44"/>
      <c r="U52" s="71" t="e">
        <f t="shared" si="2"/>
        <v>#DIV/0!</v>
      </c>
      <c r="V52" s="41"/>
      <c r="W52" s="41">
        <v>0</v>
      </c>
      <c r="X52" s="45">
        <f t="shared" si="0"/>
        <v>0</v>
      </c>
      <c r="Y52" s="46"/>
    </row>
    <row r="53" spans="1:25" x14ac:dyDescent="0.25">
      <c r="A53" s="39"/>
      <c r="B53" s="37"/>
      <c r="C53" s="40">
        <f t="shared" si="3"/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41"/>
      <c r="K53" s="41">
        <f t="shared" si="4"/>
        <v>0</v>
      </c>
      <c r="L53" s="71" t="e">
        <f t="shared" si="5"/>
        <v>#DIV/0!</v>
      </c>
      <c r="M53" s="42">
        <v>0</v>
      </c>
      <c r="N53" s="41">
        <v>0</v>
      </c>
      <c r="O53" s="41"/>
      <c r="P53" s="41">
        <f t="shared" si="1"/>
        <v>0</v>
      </c>
      <c r="Q53" s="41">
        <v>0</v>
      </c>
      <c r="R53" s="41">
        <v>0</v>
      </c>
      <c r="S53" s="43">
        <v>0</v>
      </c>
      <c r="T53" s="44"/>
      <c r="U53" s="71" t="e">
        <f t="shared" si="2"/>
        <v>#DIV/0!</v>
      </c>
      <c r="V53" s="41"/>
      <c r="W53" s="41">
        <v>0</v>
      </c>
      <c r="X53" s="45">
        <f t="shared" si="0"/>
        <v>0</v>
      </c>
      <c r="Y53" s="46"/>
    </row>
    <row r="54" spans="1:25" s="36" customFormat="1" x14ac:dyDescent="0.25">
      <c r="A54" s="39"/>
      <c r="B54" s="37"/>
      <c r="C54" s="40">
        <f t="shared" ref="C54" si="15">C53-D54-E54-F54-G54-H54-I54</f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K54" s="41">
        <f t="shared" si="4"/>
        <v>0</v>
      </c>
      <c r="L54" s="71" t="e">
        <f t="shared" si="5"/>
        <v>#DIV/0!</v>
      </c>
      <c r="M54" s="91">
        <v>0</v>
      </c>
      <c r="N54" s="41">
        <v>0</v>
      </c>
      <c r="P54" s="41">
        <f t="shared" si="1"/>
        <v>0</v>
      </c>
      <c r="Q54" s="41">
        <v>0</v>
      </c>
      <c r="R54" s="41">
        <v>0</v>
      </c>
      <c r="S54" s="43">
        <v>0</v>
      </c>
      <c r="T54" s="44"/>
      <c r="U54" s="71" t="e">
        <f t="shared" si="2"/>
        <v>#DIV/0!</v>
      </c>
      <c r="V54" s="41"/>
      <c r="W54" s="41">
        <v>0</v>
      </c>
      <c r="X54" s="45">
        <f t="shared" si="0"/>
        <v>0</v>
      </c>
      <c r="Y54" s="46"/>
    </row>
    <row r="55" spans="1:25" x14ac:dyDescent="0.25">
      <c r="A55" s="57"/>
      <c r="B55" s="56"/>
      <c r="C55" s="58">
        <f t="shared" ref="C55" si="16">C54-D55-E55-F55-G55-H55-I55</f>
        <v>0</v>
      </c>
      <c r="D55" s="59">
        <v>0</v>
      </c>
      <c r="E55" s="59">
        <v>0</v>
      </c>
      <c r="F55" s="59">
        <v>0</v>
      </c>
      <c r="G55" s="59">
        <v>0</v>
      </c>
      <c r="H55" s="59">
        <v>0</v>
      </c>
      <c r="I55" s="59">
        <v>0</v>
      </c>
      <c r="J55" s="60">
        <f>SUM(D49:H55)</f>
        <v>0</v>
      </c>
      <c r="K55" s="60">
        <f t="shared" si="4"/>
        <v>0</v>
      </c>
      <c r="L55" s="88" t="e">
        <f t="shared" si="5"/>
        <v>#DIV/0!</v>
      </c>
      <c r="M55" s="90">
        <v>0</v>
      </c>
      <c r="N55" s="60">
        <v>0</v>
      </c>
      <c r="O55" s="56">
        <f>SUM(N49:N55)</f>
        <v>0</v>
      </c>
      <c r="P55" s="60">
        <f t="shared" si="1"/>
        <v>0</v>
      </c>
      <c r="Q55" s="60">
        <v>0</v>
      </c>
      <c r="R55" s="60">
        <v>0</v>
      </c>
      <c r="S55" s="64">
        <v>0</v>
      </c>
      <c r="T55" s="61"/>
      <c r="U55" s="88" t="e">
        <f t="shared" si="2"/>
        <v>#DIV/0!</v>
      </c>
      <c r="V55" s="68" t="e">
        <f>P55/C55*1000</f>
        <v>#DIV/0!</v>
      </c>
      <c r="W55" s="60">
        <v>0</v>
      </c>
      <c r="X55" s="66">
        <f t="shared" si="0"/>
        <v>0</v>
      </c>
      <c r="Y55" s="67"/>
    </row>
    <row r="56" spans="1:25" x14ac:dyDescent="0.25">
      <c r="A56" s="39"/>
      <c r="B56" s="37"/>
      <c r="C56" s="40">
        <f t="shared" si="3"/>
        <v>0</v>
      </c>
      <c r="D56" s="69">
        <v>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41"/>
      <c r="K56" s="41">
        <f t="shared" si="4"/>
        <v>0</v>
      </c>
      <c r="L56" s="71" t="e">
        <f t="shared" si="5"/>
        <v>#DIV/0!</v>
      </c>
      <c r="M56" s="42">
        <v>0</v>
      </c>
      <c r="N56" s="41">
        <v>0</v>
      </c>
      <c r="O56" s="41"/>
      <c r="P56" s="41">
        <f t="shared" si="1"/>
        <v>0</v>
      </c>
      <c r="Q56" s="41">
        <v>0</v>
      </c>
      <c r="R56" s="41">
        <v>0</v>
      </c>
      <c r="S56" s="43">
        <v>0</v>
      </c>
      <c r="T56" s="44"/>
      <c r="U56" s="71" t="e">
        <f t="shared" si="2"/>
        <v>#DIV/0!</v>
      </c>
      <c r="V56" s="41"/>
      <c r="W56" s="41">
        <v>0</v>
      </c>
      <c r="X56" s="45">
        <f t="shared" si="0"/>
        <v>0</v>
      </c>
      <c r="Y56" s="46"/>
    </row>
    <row r="57" spans="1:25" x14ac:dyDescent="0.25">
      <c r="A57" s="39"/>
      <c r="B57" s="37"/>
      <c r="C57" s="40">
        <f t="shared" si="3"/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41"/>
      <c r="K57" s="41">
        <f t="shared" si="4"/>
        <v>0</v>
      </c>
      <c r="L57" s="71" t="e">
        <f t="shared" si="5"/>
        <v>#DIV/0!</v>
      </c>
      <c r="M57" s="42">
        <v>0</v>
      </c>
      <c r="N57" s="41">
        <v>0</v>
      </c>
      <c r="O57" s="41"/>
      <c r="P57" s="41">
        <f t="shared" si="1"/>
        <v>0</v>
      </c>
      <c r="Q57" s="41">
        <v>0</v>
      </c>
      <c r="R57" s="41">
        <v>0</v>
      </c>
      <c r="S57" s="43">
        <v>0</v>
      </c>
      <c r="T57" s="44"/>
      <c r="U57" s="71" t="e">
        <f t="shared" si="2"/>
        <v>#DIV/0!</v>
      </c>
      <c r="V57" s="41"/>
      <c r="W57" s="41">
        <v>0</v>
      </c>
      <c r="X57" s="45">
        <f t="shared" si="0"/>
        <v>0</v>
      </c>
      <c r="Y57" s="46"/>
    </row>
    <row r="58" spans="1:25" x14ac:dyDescent="0.25">
      <c r="A58" s="39"/>
      <c r="B58" s="37"/>
      <c r="C58" s="40">
        <f t="shared" si="3"/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41"/>
      <c r="K58" s="41">
        <f t="shared" si="4"/>
        <v>0</v>
      </c>
      <c r="L58" s="71" t="e">
        <f t="shared" si="5"/>
        <v>#DIV/0!</v>
      </c>
      <c r="M58" s="42">
        <v>0</v>
      </c>
      <c r="N58" s="41">
        <v>0</v>
      </c>
      <c r="O58" s="41"/>
      <c r="P58" s="41">
        <f t="shared" si="1"/>
        <v>0</v>
      </c>
      <c r="Q58" s="41">
        <v>0</v>
      </c>
      <c r="R58" s="41">
        <v>0</v>
      </c>
      <c r="S58" s="43">
        <v>0</v>
      </c>
      <c r="T58" s="44"/>
      <c r="U58" s="71" t="e">
        <f t="shared" si="2"/>
        <v>#DIV/0!</v>
      </c>
      <c r="V58" s="41"/>
      <c r="W58" s="41">
        <v>0</v>
      </c>
      <c r="X58" s="45">
        <f t="shared" si="0"/>
        <v>0</v>
      </c>
      <c r="Y58" s="46"/>
    </row>
    <row r="59" spans="1:25" x14ac:dyDescent="0.25">
      <c r="A59" s="39"/>
      <c r="B59" s="37"/>
      <c r="C59" s="40">
        <f t="shared" si="3"/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41"/>
      <c r="K59" s="41">
        <f t="shared" si="4"/>
        <v>0</v>
      </c>
      <c r="L59" s="71" t="e">
        <f t="shared" si="5"/>
        <v>#DIV/0!</v>
      </c>
      <c r="M59" s="42">
        <v>0</v>
      </c>
      <c r="N59" s="41">
        <v>0</v>
      </c>
      <c r="O59" s="41"/>
      <c r="P59" s="41">
        <f t="shared" si="1"/>
        <v>0</v>
      </c>
      <c r="Q59" s="41">
        <v>0</v>
      </c>
      <c r="R59" s="41">
        <v>0</v>
      </c>
      <c r="S59" s="43">
        <v>0</v>
      </c>
      <c r="T59" s="44"/>
      <c r="U59" s="71" t="e">
        <f t="shared" si="2"/>
        <v>#DIV/0!</v>
      </c>
      <c r="V59" s="41"/>
      <c r="W59" s="41">
        <v>0</v>
      </c>
      <c r="X59" s="45">
        <f t="shared" si="0"/>
        <v>0</v>
      </c>
      <c r="Y59" s="46"/>
    </row>
    <row r="60" spans="1:25" x14ac:dyDescent="0.25">
      <c r="A60" s="39"/>
      <c r="B60" s="37"/>
      <c r="C60" s="40"/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41"/>
      <c r="K60" s="41">
        <f t="shared" ref="K60" si="17">(D60+E60+F60+G60+H60)+K59</f>
        <v>0</v>
      </c>
      <c r="L60" s="71" t="e">
        <f t="shared" ref="L60" si="18">K60/C$5*100</f>
        <v>#DIV/0!</v>
      </c>
      <c r="M60" s="42">
        <v>0</v>
      </c>
      <c r="N60" s="41">
        <v>0</v>
      </c>
      <c r="O60" s="41"/>
      <c r="P60" s="41">
        <f t="shared" ref="P60" si="19">P59+N60</f>
        <v>0</v>
      </c>
      <c r="Q60" s="41">
        <v>0</v>
      </c>
      <c r="R60" s="41">
        <v>0</v>
      </c>
      <c r="S60" s="43">
        <v>0</v>
      </c>
      <c r="T60" s="44"/>
      <c r="U60" s="71" t="e">
        <f t="shared" ref="U60" si="20">N60/C60*1000</f>
        <v>#DIV/0!</v>
      </c>
      <c r="V60" s="41"/>
      <c r="W60" s="41">
        <v>0</v>
      </c>
      <c r="X60" s="45">
        <f t="shared" ref="X60" si="21">(C60*W60)/1000</f>
        <v>0</v>
      </c>
      <c r="Y60" s="46"/>
    </row>
    <row r="61" spans="1:25" x14ac:dyDescent="0.25">
      <c r="A61" s="39"/>
      <c r="B61" s="37"/>
      <c r="C61" s="40">
        <f>C59-D61-E61-F61-G61-H61-I61</f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41"/>
      <c r="K61" s="41">
        <f>(D61+E61+F61+G61+H61)+K59</f>
        <v>0</v>
      </c>
      <c r="L61" s="71" t="e">
        <f t="shared" si="5"/>
        <v>#DIV/0!</v>
      </c>
      <c r="M61" s="42">
        <v>0</v>
      </c>
      <c r="N61" s="41">
        <v>0</v>
      </c>
      <c r="O61" s="41"/>
      <c r="P61" s="41">
        <f>P59+N61</f>
        <v>0</v>
      </c>
      <c r="Q61" s="41">
        <v>0</v>
      </c>
      <c r="R61" s="41">
        <v>0</v>
      </c>
      <c r="S61" s="43">
        <v>0</v>
      </c>
      <c r="T61" s="44"/>
      <c r="U61" s="71" t="e">
        <f t="shared" si="2"/>
        <v>#DIV/0!</v>
      </c>
      <c r="V61" s="41"/>
      <c r="W61" s="41">
        <v>0</v>
      </c>
      <c r="X61" s="45">
        <f t="shared" si="0"/>
        <v>0</v>
      </c>
      <c r="Y61" s="46"/>
    </row>
    <row r="62" spans="1:25" s="36" customFormat="1" x14ac:dyDescent="0.25">
      <c r="A62" s="57"/>
      <c r="B62" s="56"/>
      <c r="C62" s="58">
        <f>C61-D62-E62-F62-G62-H62-I62</f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60">
        <f>SUM(D56:H62)</f>
        <v>0</v>
      </c>
      <c r="K62" s="60">
        <f>(D62+E62+F62+G62+H62)+K61</f>
        <v>0</v>
      </c>
      <c r="L62" s="88" t="e">
        <f t="shared" si="5"/>
        <v>#DIV/0!</v>
      </c>
      <c r="M62" s="62">
        <v>0</v>
      </c>
      <c r="N62" s="60">
        <v>0</v>
      </c>
      <c r="O62" s="56">
        <f>SUM(N56:N62)</f>
        <v>0</v>
      </c>
      <c r="P62" s="60">
        <f>P61+N62</f>
        <v>0</v>
      </c>
      <c r="Q62" s="60">
        <v>0</v>
      </c>
      <c r="R62" s="60">
        <v>0</v>
      </c>
      <c r="S62" s="64">
        <v>0</v>
      </c>
      <c r="T62" s="61"/>
      <c r="U62" s="71" t="e">
        <f t="shared" si="2"/>
        <v>#DIV/0!</v>
      </c>
      <c r="V62" s="60"/>
      <c r="W62" s="60">
        <v>0</v>
      </c>
      <c r="X62" s="66">
        <f t="shared" si="0"/>
        <v>0</v>
      </c>
      <c r="Y62" s="67"/>
    </row>
    <row r="63" spans="1:25" x14ac:dyDescent="0.25">
      <c r="A63" s="37"/>
      <c r="B63" s="37"/>
      <c r="C63" s="48"/>
      <c r="D63" s="37">
        <f>SUM(D13:D62)</f>
        <v>0</v>
      </c>
      <c r="E63" s="37">
        <f>SUM(E13:E62)</f>
        <v>0</v>
      </c>
      <c r="F63" s="37">
        <f>SUM(F13:F62)</f>
        <v>0</v>
      </c>
      <c r="G63" s="37">
        <f>SUM(G13:G62)</f>
        <v>0</v>
      </c>
      <c r="H63" s="37">
        <f>SUM(H13:H62)</f>
        <v>0</v>
      </c>
      <c r="I63" s="37">
        <f>SUM(I13:I62)</f>
        <v>0</v>
      </c>
      <c r="J63" s="38">
        <f>SUM(J20+J27+J34+J41+J48+J55+J62)</f>
        <v>0</v>
      </c>
      <c r="K63" s="37">
        <f>SUM(K27:K62)</f>
        <v>0</v>
      </c>
      <c r="L63" s="37"/>
      <c r="M63" s="37"/>
      <c r="N63" s="37">
        <f>SUM(N27:N62)</f>
        <v>0</v>
      </c>
      <c r="O63" s="37"/>
      <c r="P63" s="49"/>
      <c r="Q63" s="37"/>
      <c r="R63" s="37"/>
      <c r="S63" s="37"/>
      <c r="T63" s="37"/>
      <c r="U63" s="37"/>
      <c r="V63" s="50"/>
      <c r="W63" s="51">
        <f>SUM(W55:W62)</f>
        <v>0</v>
      </c>
      <c r="X63" s="52"/>
      <c r="Y63" s="52"/>
    </row>
  </sheetData>
  <sheetProtection formatCells="0" formatColumns="0" formatRows="0" insertColumns="0" insertRows="0" insertHyperlinks="0" deleteColumns="0" deleteRows="0" sort="0" autoFilter="0" pivotTables="0"/>
  <mergeCells count="36">
    <mergeCell ref="R11:R12"/>
    <mergeCell ref="S11:S12"/>
    <mergeCell ref="T11:T12"/>
    <mergeCell ref="U11:U12"/>
    <mergeCell ref="W11:W12"/>
    <mergeCell ref="X11:X12"/>
    <mergeCell ref="S10:T10"/>
    <mergeCell ref="U10:V10"/>
    <mergeCell ref="W10:X10"/>
    <mergeCell ref="Y10:Y12"/>
    <mergeCell ref="P11:P12"/>
    <mergeCell ref="A7:B7"/>
    <mergeCell ref="Q7:R7"/>
    <mergeCell ref="Q8:R8"/>
    <mergeCell ref="A10:A12"/>
    <mergeCell ref="B10:B12"/>
    <mergeCell ref="C10:C12"/>
    <mergeCell ref="D10:M10"/>
    <mergeCell ref="N10:P10"/>
    <mergeCell ref="Q10:R10"/>
    <mergeCell ref="Q11:Q12"/>
    <mergeCell ref="D11:I11"/>
    <mergeCell ref="K11:K12"/>
    <mergeCell ref="L11:L12"/>
    <mergeCell ref="N11:N12"/>
    <mergeCell ref="O11:O12"/>
    <mergeCell ref="A1:Y1"/>
    <mergeCell ref="Q3:R3"/>
    <mergeCell ref="Y3:Y6"/>
    <mergeCell ref="A4:B4"/>
    <mergeCell ref="Q4:R4"/>
    <mergeCell ref="S4:T4"/>
    <mergeCell ref="A5:B5"/>
    <mergeCell ref="Q5:R5"/>
    <mergeCell ref="A6:B6"/>
    <mergeCell ref="Q6:R6"/>
  </mergeCells>
  <printOptions horizontalCentered="1"/>
  <pageMargins left="0.70866141732283472" right="0.70866141732283472" top="0.74803149606299213" bottom="0.74803149606299213" header="0.31496062992125984" footer="0.31496062992125984"/>
  <pageSetup paperSize="5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81C9-0B36-4140-B052-C588FB1461AE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LAPORAN (GLOBAL)</vt:lpstr>
      <vt:lpstr>Sheet1</vt:lpstr>
      <vt:lpstr>'LAPORAN (GLOBAL)'!Print_Area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Maulana</dc:creator>
  <cp:lastModifiedBy>Arya Maulana</cp:lastModifiedBy>
  <dcterms:created xsi:type="dcterms:W3CDTF">2018-06-07T04:41:20Z</dcterms:created>
  <dcterms:modified xsi:type="dcterms:W3CDTF">2018-06-07T08:02:42Z</dcterms:modified>
</cp:coreProperties>
</file>